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gvaes.sharepoint.com/sites/EuroTrainee-Justificacin25-26_TEAMS-Coordinacin/Documentos compartidos/Coordinación/02-Ofertas/2026 01 26/"/>
    </mc:Choice>
  </mc:AlternateContent>
  <xr:revisionPtr revIDLastSave="133" documentId="13_ncr:1_{8A2E48AB-9D24-4767-AE4C-0354BFE48610}" xr6:coauthVersionLast="47" xr6:coauthVersionMax="47" xr10:uidLastSave="{DB6F1F79-6398-4D6C-9F6A-F8B6C4F63EDE}"/>
  <bookViews>
    <workbookView xWindow="-108" yWindow="-108" windowWidth="23256" windowHeight="12456" xr2:uid="{0F8859AE-2AD1-4FD4-97C6-C60B2248F963}"/>
  </bookViews>
  <sheets>
    <sheet name="Movilidades_ALU_CAS" sheetId="1" r:id="rId1"/>
  </sheets>
  <externalReferences>
    <externalReference r:id="rId2"/>
    <externalReference r:id="rId3"/>
  </externalReferences>
  <definedNames>
    <definedName name="LENTREVISTA">[1]!T_Entrevista[Entrevista]</definedName>
    <definedName name="LPAISES">[1]!T_Paises[CodNomPaisCasMayus]</definedName>
    <definedName name="p">[2]!T_Paises[CodNomPaisCasMayus]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 l="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alcChain>
</file>

<file path=xl/sharedStrings.xml><?xml version="1.0" encoding="utf-8"?>
<sst xmlns="http://schemas.openxmlformats.org/spreadsheetml/2006/main" count="2592" uniqueCount="651">
  <si>
    <t>Destinatario</t>
  </si>
  <si>
    <t>Ciudad</t>
  </si>
  <si>
    <t>Plazas</t>
  </si>
  <si>
    <t>Entrevista</t>
  </si>
  <si>
    <t>CodMovilidad</t>
  </si>
  <si>
    <t>Descripción</t>
  </si>
  <si>
    <t>Fecha Inicio</t>
  </si>
  <si>
    <t>Fecha Fin</t>
  </si>
  <si>
    <t>Nº Semanas</t>
  </si>
  <si>
    <t>Nº Días</t>
  </si>
  <si>
    <t>Entidad Destino</t>
  </si>
  <si>
    <t>Grupo País</t>
  </si>
  <si>
    <t>Ámbito Profesional</t>
  </si>
  <si>
    <r>
      <rPr>
        <b/>
        <sz val="9"/>
        <color theme="1"/>
        <rFont val="Arial"/>
        <family val="2"/>
      </rPr>
      <t xml:space="preserve">LISTADO DE MOVILIDADES PARA ALUMNADO
</t>
    </r>
    <r>
      <rPr>
        <i/>
        <sz val="9"/>
        <color theme="1"/>
        <rFont val="Arial"/>
        <family val="2"/>
      </rPr>
      <t>Fecha de publicación:</t>
    </r>
    <r>
      <rPr>
        <b/>
        <sz val="9"/>
        <color theme="1"/>
        <rFont val="Arial"/>
        <family val="2"/>
      </rPr>
      <t xml:space="preserve"> 26/01/2026</t>
    </r>
  </si>
  <si>
    <r>
      <t xml:space="preserve">Plazo de presentación de solicitudes: </t>
    </r>
    <r>
      <rPr>
        <b/>
        <i/>
        <sz val="9"/>
        <color rgb="FF002060"/>
        <rFont val="Arial"/>
        <family val="2"/>
      </rPr>
      <t>Hasta el lunes 09 de febrero de 2026</t>
    </r>
  </si>
  <si>
    <t>IT-ITALIA</t>
  </si>
  <si>
    <t>PESCARA</t>
  </si>
  <si>
    <t>HUERTO O EXPLOTACIÓN AGRÍCOLA ECOLÓGICA</t>
  </si>
  <si>
    <t>NO</t>
  </si>
  <si>
    <t>El perfil corresponde a un auxiliar agrícola, realizando tareas relacionadas con el cultivo y mantenimiento del huerto según las necesidades del momento. No obstante, se podrá considerar también a candidatos cuyo perfil no coincida exactamente, pudiendo ajustarse las funciones del puesto según las capacidades y experiencia del candidato Los vuelos se organizarán desde la zona de Valencia o Alicante, en función de la disponibilidad y la logística del viaje. Las fechas de ida y vuelta podrán ajustarse conforme a la planificación final.</t>
  </si>
  <si>
    <t>El perfil corresponde a un asistente de producción agroecológica, realizando tareas de apoyo en el cuidado de cultivos, el manejo de compost y la colaboración en procesos productivos sostenibles. No obstante, se podrá considerar también a candidatos cuyo perfil no coincida exactamente, pudiendo ajustarse las funciones del puesto según las capacidades y experiencia del candidato. Los vuelos se organizarán desde la zona de Valencia o Alicante, dependiendo de la disponibilidad y la logística del viaje. Las fechas de ida y vuelta podrán ajustarse según la planificación final.</t>
  </si>
  <si>
    <t>ENTIDAD DE JARDINERÍA Y PAISAJISMO</t>
  </si>
  <si>
    <t>El perfil corresponde a un profesional de gestión del verde / jardinería (básico–intermedio), realizando tareas de apoyo en plantación, poda, riego y mantenimiento general de zonas verdes. No obstante, se podrá considerar también a candidatos cuyo perfil no coincida exactamente, pudiendo ajustarse las funciones del puesto según las capacidades y experiencia del candidato. Los vuelos se organizarán desde la zona de Valencia o Alicante, dependiendo de la disponibilidad y la logística del viaje. Las fechas de ida y vuelta podrán ajustarse según la planificación final.</t>
  </si>
  <si>
    <t>ENTIDAD PESQUERA Y DE DISTRIBUCIÓN DE PESCADO</t>
  </si>
  <si>
    <t>El perfil corresponde a un ayudante de pesca / trabajador en lonja, realizando tareas de apoyo en la preparación, clasificación y mantenimiento básico de los productos y equipos. No obstante, se podrá considerar también a candidatos cuyo perfil no coincida exactamente, pudiendo ajustarse las funciones del puesto según las capacidades y experiencia del candidato. Los vuelos se organizarán desde la zona de Valencia o Alicante, dependiendo de la disponibilidad y la logística del viaje. Las fechas de ida y vuelta podrán ajustarse según la planificación final</t>
  </si>
  <si>
    <t>ENTIDAD GANADERA, GRANJA O REFUGIO DE ANIMALES</t>
  </si>
  <si>
    <t>El perfil corresponde a un profesional en cuidado y manejo de animales, realizando tareas de apoyo en la alimentación, cuidado y limpieza de los animales e instalaciones. No obstante, se podrá considerar también a candidatos cuyo perfil no coincida exactamente, pudiendo ajustarse las funciones del puesto según las capacidades y experiencia del candidato. Los vuelos se organizarán desde la zona de Valencia o Alicante, dependiendo de la disponibilidad y la logística del viaje. Las fechas de ida y vuelta podrán ajustarse según la planificación final.</t>
  </si>
  <si>
    <t>COOPERATIVAS Y ELABORACIÓN ARTESANAL DE ALIMENTOS</t>
  </si>
  <si>
    <t>El perfil corresponde a un profesional en transformación y productos agroalimentarios, realizando tareas de apoyo en el procesado, envasado y control básico de higiene y etiquetado de los productos. No obstante, se podrá considerar también a candidatos cuyo perfil no coincida exactamente, pudiendo ajustarse las funciones del puesto según las capacidades y experiencia del candidato. Los vuelos se organizarán desde la zona de Valencia o Alicante, dependiendo de la disponibilidad y la logística del viaje. Las fechas de ida y vuelta podrán ajustarse según la planificación final.</t>
  </si>
  <si>
    <t>MT-MALTA</t>
  </si>
  <si>
    <t>MALTA</t>
  </si>
  <si>
    <t>El perfil corresponde a una persona que brinda apoyo en tareas relacionadas con la agricultura, participando en actividades de cultivo, mantenimiento y control básico. No obstante, se podrá considerar también a candidatos cuyo perfil no coincida exactamente, pudiendo ajustarse las funciones del puesto según las capacidades y experiencia del candidato. Los vuelos se organizarán desde la zona de Valencia o Alicante, en función de la disponibilidad y la logística del viaje. Las fechas de ida y vuelta podrán ajustarse según la planificación final.</t>
  </si>
  <si>
    <t>El perfil corresponde a una persona que realiza tareas relacionadas con la pesca y el manejo de recursos acuáticos, incluyendo el uso de equipos, clasificación y cuidado de productos, y mantenimiento básico. No obstante, se podrá considerar también a candidatos cuyo perfil no coincida exactamente, pudiendo ajustarse las funciones del puesto según las capacidades y experiencia del candidato.Los vuelos se organizarán desde la zona de Valencia o Alicante, en función de la disponibilidad y la logística del viaje. Las fechas de ida y vuelta podrán ajustarse según la planificación final.</t>
  </si>
  <si>
    <t>PT-PORTUGAL</t>
  </si>
  <si>
    <t>FIGUEIRA DA FOZ</t>
  </si>
  <si>
    <t>El perfil corresponde a un auxiliar de ganadería, apoyando en cuidado diario de caballos, alimentación, limpieza de cuadras, cepillado y manejo básico, observación de comportamiento y apoyo en rutinas diarias, asegurando el bienestar y la seguridad de los animales. No obstante, se podrá considerar también a candidatos cuyo perfil no coincida exactamente, pudiendo ajustarse las funciones del puesto según las capacidades y experiencia del candidato. Los vuelos se programarán desde Valencia o Alicante, de acuerdo con la disponibilidad y la organización del viaje. Las fechas de ida y vuelta podrían ajustarse en función de la planificación final.</t>
  </si>
  <si>
    <t>VIVERO / JARDINERIA</t>
  </si>
  <si>
    <t>El perfil corresponde a un auxiliar de vivero, encargado de tareas relacionadas con el cuidado y mantenimiento de plantas y espacios verdes.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Las fechas de ida y vuelta podrán ajustarse según la planificación final.</t>
  </si>
  <si>
    <t>PL-POLONIA</t>
  </si>
  <si>
    <t>BRESLAVIA</t>
  </si>
  <si>
    <t>JARDIN BOTÁNICO</t>
  </si>
  <si>
    <t>El perfil corresponde a un asistente de jardinería botánica, realizando tareas relacionadas con el cuidado y mantenimiento de plantas y espacios verdes, así como apoyo en la gestión y organización general.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Las fechas de ida y vuelta podrán ajustarse según la planificación final.</t>
  </si>
  <si>
    <t>TR-TURQUÍA</t>
  </si>
  <si>
    <t>MANAVGAT</t>
  </si>
  <si>
    <t>CENTRO DE EDUCACIÓN E INVESTIGACIÓN ACUÍCOLA.</t>
  </si>
  <si>
    <t>El perfil corresponde a un asistente en acuicultura, encargado de tareas generales relacionadas con el cuidado y control de peces y sus instalaciones.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</si>
  <si>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CRACOVIA</t>
  </si>
  <si>
    <t>CENTRO DE INVESTIGACIÓN Y DESARROLLO AGRÍCOLA</t>
  </si>
  <si>
    <t>El perfil corresponde a un asistente agronómico, que participa en tareas de laboratorio, control de calidad de semillas y apoyo en experimentos de mejora vegetal. No obstante, se podrá considerar también a candidatos cuyo perfil no coincida exactamente, pudiendo ajustarse las funciones del puesto según las capacidades y experiencia del candidato. Las tareas asignadas se ajustarán al nivel de inglés del estudiante. Los vuelos se organizarán desde Valencia o Alicante, según la disponibilidad y logística del viaje, y las fechas de ida y vuelta podrán ajustarse según la planificación final.</t>
  </si>
  <si>
    <t>SECTOR PRIMARIO</t>
  </si>
  <si>
    <t>L1AIT001</t>
  </si>
  <si>
    <t>ALUMNADO</t>
  </si>
  <si>
    <t>SÍ</t>
  </si>
  <si>
    <t>L1AIT002</t>
  </si>
  <si>
    <t>L1AIT003</t>
  </si>
  <si>
    <t>L1AIT004</t>
  </si>
  <si>
    <t>L1AIT005</t>
  </si>
  <si>
    <t>L1AIT006</t>
  </si>
  <si>
    <t>L1AIT007</t>
  </si>
  <si>
    <t>L1AIT008</t>
  </si>
  <si>
    <t>L1AMT009</t>
  </si>
  <si>
    <t>L1AMT010</t>
  </si>
  <si>
    <t>L1AMT011</t>
  </si>
  <si>
    <t>L1AMT012</t>
  </si>
  <si>
    <t>L1AMT013</t>
  </si>
  <si>
    <t>L1APT014</t>
  </si>
  <si>
    <t>L1APT015</t>
  </si>
  <si>
    <t>L1APL016</t>
  </si>
  <si>
    <t>L1APL017</t>
  </si>
  <si>
    <t>L1ATR018</t>
  </si>
  <si>
    <t>L1APL019</t>
  </si>
  <si>
    <t>L1APL020</t>
  </si>
  <si>
    <t>L1APL021</t>
  </si>
  <si>
    <t>SECTOR TRADICIONAL MANUFACTURERO</t>
  </si>
  <si>
    <t>L2AIT001</t>
  </si>
  <si>
    <t>TALLER DE ARTESANÍA</t>
  </si>
  <si>
    <t>El perfil corresponde a un asistente de taller artesanal, apoyando en la producción y acabado de piezas, así como en la preparación de productos para venta o envío.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</si>
  <si>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L2AIT002</t>
  </si>
  <si>
    <t>TALLER DE COSTURA</t>
  </si>
  <si>
    <t>El perfil corresponde a un auxiliar de confección textil, colaborando en el montaje de prendas, control de calidad y preparación de materiales.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</si>
  <si>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L2AIT003</t>
  </si>
  <si>
    <t>TALLER ARTESANALES / ALFARERÍA</t>
  </si>
  <si>
    <t>L2AMT004</t>
  </si>
  <si>
    <t>TALLER DE CARPINTERÍA</t>
  </si>
  <si>
    <t>El perfil corresponde a un ayudante de carpintería, realizando tareas relacionadas con la producción y mantenimiento de piezas y del taller de madera.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</si>
  <si>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L2AMT005</t>
  </si>
  <si>
    <t>L2APT006</t>
  </si>
  <si>
    <t>FARO</t>
  </si>
  <si>
    <t>El perfil corresponde a un auxiliar en taller de costura, encargado de tareas relacionadas con la producción y mantenimiento de prendas y del taller de costura.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</si>
  <si>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L2APL007</t>
  </si>
  <si>
    <t>ESTUDIO DE CERAMICA</t>
  </si>
  <si>
    <t>El perfil corresponde a un asistente de cerámica, ayudando en la preparación de materiales, modelado de piezas y acabado de productos.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</si>
  <si>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L2APL008</t>
  </si>
  <si>
    <t>El perfil corresponde a un asistente en una empresa de confección, realizando tareas relacionadas con la producción y organización del taller textil. No obstante, se podrá considerar también a candidatos cuyo perfil no coincida exactamente, pudiendo ajustarse las funciones del puesto según las capacidades y experiencia del candidato. Las tareas asignadas se ajustarán al nivel de inglés del estudiante. Los vuelos se organizarán desde Valencia o Alicante, según la disponibilidad y logística del viaje, y las fechas de ida y vuelta podrán ajustarse según la planificación final.</t>
  </si>
  <si>
    <t>L2APL009</t>
  </si>
  <si>
    <t>L2APL010</t>
  </si>
  <si>
    <t>SECTOR PRODUCTIVO O SECUNDARIO</t>
  </si>
  <si>
    <t>L3AIE001</t>
  </si>
  <si>
    <t>IE-IRLANDA</t>
  </si>
  <si>
    <t>DUBLIN</t>
  </si>
  <si>
    <t>ACCUTOOL</t>
  </si>
  <si>
    <t>Tipo de actividad empresarial: Ingeniería CNC
Ingeniería Accutool utiliza la tecnología CNC más avanzada para fabricar una amplia gama de componentes. Nuestros tecnólogos utilizan las mejores herramientas y parámetros de enfoque para lograr un mecanizado rápido de piezas y conjuntos de calidad a precios competitivos con entrega puntual.
Ejemplo de funciones:
Cargar programas en las máquinas CNC.
Introducir las configuraciones iniciales (por ejemplo, seleccionar parámetros, posicionar el material y poner a cero la máquina).
Ejemplo de responsabilidades:
Cargar las piezas de trabajo en la máquina.
Supervisar las operaciones de mecanizado.
Intervenir en caso de malfuncionamientos, averías y errores de mecanizado.
Acabar las piezas de trabajo y realizar controles de calidad.
Realizar tareas de mantenimiento menor para asegurar el correcto funcionamiento de las máquinas CNC.</t>
  </si>
  <si>
    <t>L3AIE002</t>
  </si>
  <si>
    <t>BELVEDERE HOTEL</t>
  </si>
  <si>
    <t>Tipo de actividad empresarial: Hotel. Sector servicios. Mantenimiento. Situado en el corazón del centro de la ciudad de Dublín, a solo unos minutos a pie del teatro Gate, el Jardín del Recuerdo, el Croke Park y la calle O’Connell. ¡El hotel Belvedere está rodeado de los edificios más históricos de Irlanda y de las calles comerciales más famosas! Sector de Hostelería. Rol: Mantenimiento / reparaciones. Ejemplo de responsabilidades: Seguir los procesos para informar de cualquier equipo / instalaciones defectuosas. Asegurarse de que el interior y el exterior del hotel estén bien mantenidos. Mantenimiento general del edificio como pintar, reparar puertas / ventanas / asegurar que las instalaciones del hotel se mantengan en buen estado.</t>
  </si>
  <si>
    <t>L3AIE003</t>
  </si>
  <si>
    <t>CROFTCOM</t>
  </si>
  <si>
    <t>Tipo de actividad empresarial: Ingeniería eléctrica y electrónica.
Croftcom es una empresa con sede en Dublín que se especializa en soluciones de seguridad y automatización. Sus servicios incluyen la instalación y mantenimiento de alarmas antirrobo, sistemas de CCTV, control de acceso, sistemas EPOS y automatización de puertas.
Ejemplo de responsabilidades: La empresa ofrece una buena combinación de entornos reales para el aprendizaje y el desarrollo de habilidades. Los estudiantes tendrían la oportunidad de acompañar y ayudar en trabajos en vivo, familiarizarse con herramientas y sistemas, y obtener una comprensión más clara de cómo funciona nuestra industria aquí en Irlanda.
Sistemas EPOS (punto de venta electrónico) para el sector de la hostelería
Sistemas de alarma contra intrusiones, incendios. Sistemas de control de acceso.
Automatización de portones.
Iluminación de emergencia – incluyendo pruebas y puesta en marcha.</t>
  </si>
  <si>
    <t>L3AIE004</t>
  </si>
  <si>
    <t>IL VALENTINO</t>
  </si>
  <si>
    <t>Tipo de actividad empresarial: Industrias Alimentarias.
 Il Valentino es un café que se especializa en pastelería y pasteles, todos hechos en el lugar. También ofrecen una gama de bocadillos artesanales y pizzas. Ejemplo de responsabilidades: Mezclar, preparar y hornear pan y pastelería. Abrir la panadería cada mañana. Colocar los productos en la vitrina de manera atractiva. Hacer pedidos de más suministros. Elaborar y crear nuevos productos de panadería emocionantes. Asegurarse de que todos los productos de panadería estén listos a tiempo para la apertura.</t>
  </si>
  <si>
    <t>L3AIE005</t>
  </si>
  <si>
    <t>ITSTAR</t>
  </si>
  <si>
    <t>Tipo de actividad empresarial: electricidad y electrónica. 
reparación multimedia. Creemos que nadie está mejor calificado para ofrecer servicio a sus dispositivos que nosotros, con opciones de servicio y reparación de dispositivos sencillas y directas. IT Star es la tienda única en Dublín para servicios, reparaciones y ventas. Tipo de negocio: Reparación multimedia. Ámbito de colocación: Informática. Ejemplo de responsabilidades: Según las habilidades, reparación de teléfonos, portátiles, tabletas.</t>
  </si>
  <si>
    <t>L3AIE006</t>
  </si>
  <si>
    <t>KC PEACHES</t>
  </si>
  <si>
    <t>Sí</t>
  </si>
  <si>
    <t>Tipo de actividad empresarial:  Industrias Alimentarias. Asistente de catering.
KC Peaches – Proporcionando alimentación natural. La sencillez y la alegría de preparar y disfrutar alimentos nutritivos y de gran sabor llevaron a la creación de KC Peaches. KC Peaches ha estado nutriendo a Dublín con alimentación natural durante los últimos 10 años.
Ejemplo de responsabilidades:
Saludar a los clientes y tomar pedidos en la caja.
Atender consultas.
Limpiar y desocupar mesas.
Tareas generales de apertura.
Tareas generales de cierre.</t>
  </si>
  <si>
    <t>L3AIE007</t>
  </si>
  <si>
    <t>MALDRON HOTEL</t>
  </si>
  <si>
    <t>Tipo de actividad empresarial: Instalación y Mantenimiento. Hotel. Sector servicios.
Con vistas a la Terminal 2 y a solo 3 minutos a pie de ambos terminales, el Maldron Hotel Dublin Airport es el hotel perfecto cerca del Aeropuerto de Dublín.
Ejemplo de responsabilidades:
Realización de inspecciones de las instalaciones y equipos del hotel.
Realización de mantenimiento rutinario.
Informar sobre problemas con equipos eléctricos, calefacción, ventilación, iluminación, fontanería, etc.</t>
  </si>
  <si>
    <t>L3AIE008</t>
  </si>
  <si>
    <t>ND SIGNS</t>
  </si>
  <si>
    <t>Tipo de actividad empresarial: Instalación y Mantenimiento. empresa de señalización.  Desde rótulos de fachada, rótulos de neón, iluminación LED, rótulos de proyección, gráficos recortados por ordenador, impresión digital, rótulos monolitos, rótulos interiores, rótulos exteriores, personalización de camiones y furgonetas, hasta instalación y mantenimiento. Ejemplo de responsabilidades: Instalación: asegurar la correcta instalación de los rótulos, lo que puede requerir el uso de escaleras, andamios y otros equipos. Mantenimiento y reparación de rótulos existentes para garantizar que se mantengan en buen estado y estén actualizados. Control de calidad: inspeccionar los productos terminados para asegurar que cumplan con los estándares especificados.</t>
  </si>
  <si>
    <t>L3AIE009</t>
  </si>
  <si>
    <t>SAFA FOOD</t>
  </si>
  <si>
    <t>Tipo de actividad empresarial:  Industrias Alimentarias. producción de alimentos y control de calidad.
Naturaleza del negocio: Producción de alimentos y control de calidad
Safa Food ha sido fabricante de panes frescos de calidad y pastelería utilizando únicamente recetas auténticas y los mejores ingredientes de todo el mundo. Nuestros panes y pastelería son bien conocidos por su calidad y autenticidad; para la industria de servicios alimentarios, ofrecemos un servicio de entrega excepcional tanto el mismo día como al día siguiente.
Ejemplo de responsabilidades:
Operar y mantener equipos de procesamiento de alimentos: operar y mantener diversos tipos de equipos de procesamiento de alimentos, asegurándose de que estén en buen estado de funcionamiento y operen de manera eficiente.
Medir y pesar los ingredientes con precisión para asegurar que se utilicen las proporciones correctas en el proceso de producción.
Seguir recetas e instrucciones para garantizar la calidad y la seguridad del producto final.
Empacar y etiquetar los productos, asegurando que estén correctamente etiquetados y preparados para la distribución. Inspeccionar la calidad del producto según las especificaciones del cliente, asegurándose de que cumpla con los estándares requeridos. Mantener la limpieza y los estándares de seguridad para cumplir con las normativas de salud y seguridad.</t>
  </si>
  <si>
    <t>L3AIE010</t>
  </si>
  <si>
    <t>SPECTRUM</t>
  </si>
  <si>
    <t>Tipo de actividad empresarial: Producción/Eventos. Técnico de iluminación. Como equipo joven, siempre buscamos nuevas formas de crecer e innovar. Nuestro objetivo es utilizar la creatividad y la tecnología para ofrecer experiencias boutique a nuestros clientes. Para nosotros, nunca ha sido una cuestión de escala. Tanto si se trata de una fiesta de cumpleaños pequeña como de un espectáculo con entrada completa en la 3Arena, siempre nos esforzamos por crear eventos que superen las expectativas. Ejemplo de responsabilidades: Configuración y operación del equipo de iluminación, probándolo para asegurarse de que esté en buen estado y funcionando correctamente. Asegurar que el diseño de iluminación cumpla con los estándares artísticos y técnicos. Detectar y reparar problemas que puedan surgir durante una producción o evento. Seguir los protocolos y directrices de seguridad para mantener un entorno de trabajo seguro.</t>
  </si>
  <si>
    <t>L3AIE011</t>
  </si>
  <si>
    <t>STONEY CNC</t>
  </si>
  <si>
    <t>Tipo de actividad empresarial: Ingeniería CNC. Fabricante de CNC.  
Ofrecemos una gama de máquinas de fresado CNC y routers CNC en el Reino Unido, Europa y a nivel mundial. Ofrecemos sistemas CNC desde principiantes hasta equipos CNC de producción completa.  
Ejemplo de responsabilidades: Administración general: Introducción de datos. Auditoría de aplicaciones de tiendas en línea. Materiales en proceso. Fabricación de cajas de control CNC. Cableado y creación de cables. Diseño y montaje de piezas y conductos. Prueba y calibración. Montaje de CNC y puente CNC. Aplicación de riel Howin a los puentes. Construcción de la estructura del puente. Montaje del puente sobre la base CNC. Prueba y calibración.  
Conexión de los dos sistemas. Realización de pruebas de fábrica para las máquinas completadas..</t>
  </si>
  <si>
    <t>L3AIE012</t>
  </si>
  <si>
    <t>THE LAPTOP SHOP</t>
  </si>
  <si>
    <t>Tipo de actividad empresarial: Reparación y venta de electrónica.
The Laptop Shop se creó en 2009 por un equipo de individuos con mucha experiencia en el mundo de la informática. The Laptop Shop ofrece una función de soporte extensa para las personas que han elegido comprar sus artículos de informática en la tienda. También tenemos en stock una amplia gama de portátiles, netbooks y tabletas, así como accesorios relacionados de marcas como HP, Compaq, Samsung, Sony y Acer, además de una gran variedad de fundas y bolsas de transporte. The Laptop Shop se enorgullece de nuestro enfoque amable y de nuestra orientación al servicio.
Ejemplo de responsabilidades: Diagnosticar y reparar equipos y sistemas electrónicos.
Realizar mantenimiento e inspecciones programadas para prevenir fallos del sistema.
Probar y calibrar la electrónica para asegurarse de que cumple con los estándares de la industria.
Colaborar con otros miembros del personal técnico para desarrollar sistemas y mejorar la funcionalidad.
Asegurar el cumplimiento de todas las normas y regulaciones de seguridad.</t>
  </si>
  <si>
    <t>L3AIE013</t>
  </si>
  <si>
    <t>YUGO RESIDENCE</t>
  </si>
  <si>
    <t>Tipo de actividad empresarial: Sector servicios. Mantenimiento. Yugo – Alojamiento para estudiantes Ejemplo de responsabilidades: - Apoyo en reparaciones de mantenimiento, como ayudar al equipo en el cambio de baterías de cerraduras de puertas, por ejemplo. Las tareas de mantenimiento regular incluyen comprobar y mantener los sistemas de agua caliente y fría, asegurar el estado de conservación y la seguridad de los caminos exteriores, y realizar comprobaciones de seguridad contra incendios. Realizar inspecciones de salud y seguridad. Se pueden llevar a cabo algunas tareas de jardinería.</t>
  </si>
  <si>
    <t>L3AIE014</t>
  </si>
  <si>
    <t>L3AIE015</t>
  </si>
  <si>
    <t>L3AIE016</t>
  </si>
  <si>
    <t>L3AIE017</t>
  </si>
  <si>
    <t>L3AIE018</t>
  </si>
  <si>
    <t>L3AIE019</t>
  </si>
  <si>
    <t>L3AIE020</t>
  </si>
  <si>
    <t>L3AIE021</t>
  </si>
  <si>
    <t>L3AIE022</t>
  </si>
  <si>
    <t>L3AIE023</t>
  </si>
  <si>
    <t>L3AIE024</t>
  </si>
  <si>
    <t>L3AIE025</t>
  </si>
  <si>
    <t>L3AIE026</t>
  </si>
  <si>
    <t>L3AIE027</t>
  </si>
  <si>
    <t>L3AIE028</t>
  </si>
  <si>
    <t>L3AIE029</t>
  </si>
  <si>
    <t>L3AIE030</t>
  </si>
  <si>
    <t>L3AIE031</t>
  </si>
  <si>
    <t>L3AIE032</t>
  </si>
  <si>
    <t>L3APT033</t>
  </si>
  <si>
    <t>LISBOA</t>
  </si>
  <si>
    <t>BREAD &amp; FRIENDS 1</t>
  </si>
  <si>
    <t>Industrias Alimentarias.
Bread &amp; Friends es una panadería, pastelería y café moderna en Lisboa, parte del Grupo SANA. El enfoque está en la artesanía y la calidad: todos los panes, pasteles y platos se preparan a diario en el lugar utilizando técnicas tradicionales e ingredientes cuidadosamente seleccionados. La panadería produce masas madre de fermentación lenta, panes regionales portugueses y una variedad de pasteles creativos como brioche, babka y especialidades de temporada. Además de los productos horneados, la cocina prepara comidas frescas y bien equilibradas para el brunch y el almuerzo, destacando opciones tanto dulces como saladas.
Tareas:
● Apoyo en la preparación y pesaje de materias primas
● Colaboración en el proceso de producción de pan y productos de pastelería artesanal
● Seguimiento de las etapas de fermentación y horneado
● Participación en actividades de envasado y etiquetado de productos
● Asistencia en la implementación de buenas prácticas de higiene y seguridad alimentaria
● Observación y aprendizaje sobre la gestión del ciclo de producción en una panadería artesanal
Requisitos principales:
● Educación o formación en procesamiento de alimentos, panadería, pastelería o áreas relacionadas
● Gran interés en la producción de panadería artesanal y en su ciclo de producción completo
● Uso de uniforme propio durante la pasantía</t>
  </si>
  <si>
    <t>L3APT034</t>
  </si>
  <si>
    <t>BREAD &amp; FRIENDS 2</t>
  </si>
  <si>
    <t>Industrias Alimentarias.
Bread &amp; Friends es una panadería, pastelería y café moderna en Lisboa, parte del Grupo SANA. El enfoque está en la artesanía y la calidad: todos los panes, pasteles y platos se preparan a diario en el lugar utilizando técnicas tradicionales e ingredientes cuidadosamente seleccionados. La panadería produce masas madre de fermentación lenta, panes regionales portugueses y una variedad de pasteles creativos como brioche, babka y especialidades de temporada. Además de los productos horneados, la cocina prepara comidas frescas y bien equilibradas para el brunch y el almuerzo, destacando opciones tanto dulces como saladas.
Tareas:
● Preparación de alimentos desde cero: medir, cortar, cocinar.
● Asistir al chef en las operaciones diarias de la cocina.
● Aprender recetas, técnicas de elaboración de alimentos y normas de higiene.
● Mantener la cocina limpia y organizada.
Requisitos principales:
● Gran interés en las operaciones profesionales de cocina y producción de alimentos
● Disposición para aprender y aplicar recetas, técnicas de cocina y normas de higiene
● Capacidad para trabajar de manera eficiente y colaborativa en un entorno de cocina de ritmo rápido
● Uso del propio uniforme (farda) durante la pasantía</t>
  </si>
  <si>
    <t>L3APT035</t>
  </si>
  <si>
    <t>CASA DE BOLOS</t>
  </si>
  <si>
    <t>Industrias Alimentarias.
Casa de Bolos es una acogedora pastelería que se especializa en pasteles caseros tradicionales. La pastelería ofrece una variedad de pasteles tradicionales, desde porciones y mini pasteles hasta pasteles rellenos, brownies, “pastel en maceta” y postres fríos, todos elaborados con ingredientes locales frescos a diario.
Tareas:
● Preparación y transformación de materias primas (cremas, coberturas, rellenos, etc.);
● Apoyo en la producción artesanal de pasteles y frascos (incluyendo horneado);
● Pesado de ingredientes y control de calidad durante el proceso de producción;
● Asistencia en la organización y limpieza del área de producción;
● Participación en todas las etapas del ciclo de producción, desde la preparación hasta el acabado de pasteles y frascos.
Requisitos principales:
● Educación o formación en fabricación de alimentos, repostería o áreas relacionadas.
● Atención al detalle y compromiso con los estándares de higiene y calidad.
● Capacidad para trabajar de manera colaborativa en un entorno de producción.</t>
  </si>
  <si>
    <t>L3APT036</t>
  </si>
  <si>
    <t>TREEGO</t>
  </si>
  <si>
    <t>Industrias Alimentarias.
Treego es una panadería artesanal ubicada en Lisboa, conocida por producir panes de masa madre 100% orgánicos y veganos. Fundada por Pedro Piedade, la marca nació de una pasión familiar por el pan y del deseo de revivir las recetas tradicionales portuguesas. La panadería abrió en 2024 en el barrio de Alvalade, tras el éxito de sus ventas en mercados orgánicos y en línea. En Treego, todos los productos son hechos a mano, sin levaduras industriales ni aditivos químicos. La marca enfatiza la sostenibilidad y apoya al comercio local.
El pasante tendrá la oportunidad de aprender sobre los procesos de elaboración de pan artesanal y otros productos de panadería, mientras contribuye al mantenimiento de la calidad del producto y la organización en el área de producción.
Responsabilidades principales:
- Asistir en la preparación y horneado de productos de panadería y pastelería.
- Operar y limpiar el equipo de producción.
- Ayudar con el empaque, etiquetado y organización de los productos.
- Gestionar y recibir materias primas y productos terminados.
- Apoyar el control de calidad y realizar tareas administrativas relacionadas con la producción.
Requisitos:
● Educación o formación en Procesamiento de Alimentos o un campo relacionado.
● Interés en la panadería artesanal y disposición para aprender los procesos de horneado.
● Ganas de seguir instrucciones y ayudar en las tareas de producción, control de calidad y organización.</t>
  </si>
  <si>
    <t>L3APT037</t>
  </si>
  <si>
    <t>CF ARQUITECTOS</t>
  </si>
  <si>
    <t>Edificación y Obra Civil
CF Arquitectos es un estudio de arquitectura con sede en Lisboa, reconocido por su enfoque de diseño contemporáneo y su experiencia en proyectos de construcción civil. La firma realiza obras residenciales, comerciales y públicas, centrándose en la funcionalidad, la calidad y el atractivo estético.
Tareas:
- Asistir en la creación de dibujos y planos 2D utilizando AutoCAD.
- Apoyar al equipo en el desarrollo de diseños para proyectos de construcción civil y otras obras arquitectónicas.
- Actualizar y mantener la documentación del proyecto y los archivos técnicos.
- Colaborar con arquitectos, ingenieros y gerentes de proyecto para asegurar que los dibujos cumplan con los requisitos y estándares del proyecto.
- Ayudar en la preparación de presentaciones visuales y técnicas de los planes del proyecto.
Requisitos:
● Educación o formación en Ingeniería Civil, Arquitectura, Dibujo Técnico o un campo relacionado.
● Conocimientos básicos de AutoCAD e interés en crear dibujos técnicos y planos de proyectos.
● Ganas de aprender, seguir instrucciones y asistir al equipo con documentación, apoyo en diseño y presentaciones.</t>
  </si>
  <si>
    <t>L3APT038</t>
  </si>
  <si>
    <t>CVMJ ARCHITECTURE &amp; RETAIL</t>
  </si>
  <si>
    <t>Edificación y Obra Civil
CVMJ Architecture &amp; Retail es un estudio creativo con sede en Lisboa, fundado en 2015 por los arquitectos Carlos Durán y María José Cuesta como una evolución de The Glub – architects. La firma destaca por ofrecer soluciones innovadoras con gran flexibilidad, experiencia técnica y gestión de proyectos a nivel global. Se especializa en el ciclo completo de arquitectura e ingeniería para clientes corporativos, con un enfoque particular en espacios comerciales y de retail. Desde su fundación, el estudio ha desarrollado más de 60 proyectos de retail para marcas internacionales como Adidas, Max Mara, OVS y Armani Exchange, operando en Portugal, España y Francia.
Tareas:
● Desarrollar modelos 2D y 3D, dibujos y presentaciones para apoyar la visualización y comprensión de los proyectos.
● Preparar planes y cronogramas de proyectos, incluyendo cálculos básicos de rendimiento, para asistir en la elaboración de proyectos, procesos de licitación y fases de ejecución.
Habilidades requeridas:
● Dominio de Microsoft Office (Word, Excel).
● Habilidades en dibujo 2D en AutoCAD.
Valioso (pero no obligatorio):
● Modelado 3D en SketchUp.
● Diseño de presentaciones en PowerPoint y Canva.</t>
  </si>
  <si>
    <t>L3APT039</t>
  </si>
  <si>
    <t>GRUPO HOTUSA</t>
  </si>
  <si>
    <t>Mantenimiento. Electricidad.
Grupo Hotusa es uno de los principales grupos hoteleros de Europa, reconocido por su fuerte presencia en el sector de hoteles de lujo. A través de su prestigiosa cadena Eurostars Hotels, el grupo gestiona un amplio portafolio de elegantes propiedades ubicadas en las principales zonas céntricas de las ciudades, incluida Lisboa. Con un enfoque en la excelencia, la comodidad y experiencias innovadoras para los huéspedes, esta experiencia permite a los estudiantes desarrollar habilidades prácticas mientras contribuyen al buen funcionamiento de instalaciones hoteleras de alto nivel.
Tareas:
● Realizar inspecciones rutinarias de las habitaciones de los huéspedes, áreas públicas y áreas de servicio para asegurarse de que todo esté en buen estado de funcionamiento.
● Realizar reparaciones menores y ayudar a los técnicos principales con reparaciones más complejas.
● Ayudar en la resolución de fallos de equipos y solucionar problemas de mantenimiento en áreas críticas.
● Asistir en tareas de mantenimiento preventivo, como inspeccionar sistemas eléctricos y probar alarmas contra incendios.
Requisitos:
● Educación o formación en Ingeniería Eléctrica, Mantenimiento o un campo técnico relacionado.
● Comprensión básica de sistemas eléctricos, procedimientos de seguridad y prácticas de mantenimiento; se valorará experiencia práctica previa.
● Disposición para aprender, seguir instrucciones y asistir a los técnicos principales con reparaciones y tareas de mantenimiento preventivo.</t>
  </si>
  <si>
    <t>L3APT040</t>
  </si>
  <si>
    <t>LISBON BEST APARTMENTS</t>
  </si>
  <si>
    <t>Instalación y Mantenimiento.
Lisbon Best Apartments es una empresa de hostelería boutique que ofrece apartamentos con servicios elegantes en el corazón de Lisboa. Desde 2014, la empresa ha crecido de manera constante, gestionando una cartera de apartamentos modernos y acogedores. Conocida por su confort, diseño y servicio personalizado, Lisbon Best Apartments ofrece a los becarios la oportunidad de desarrollar sus habilidades y adquirir experiencia valiosa dentro de una de las empresas de hostelería más reconocidas de la ciudad.
Tareas:
El Programa de Pasantías en Mantenimiento y Reparaciones brindará al pasante experiencia práctica en el mantenimiento de apartamentos de alquiler a corto plazo. Trabajará junto al equipo de Mantenimiento y aprenderá sobre electricidad, fontanería, sistemas HVAC y reparaciones generales. Además, adquirirá conocimientos sobre cómo garantizar que los apartamentos estén siempre seguros, cómodos y bien mantenidos para los huéspedes.
Requisitos:
● Educación o formación en Electricidad, Fontanería, HVAC, Mantenimiento de Instalaciones o un campo técnico relacionado.
● Comprensión básica de las prácticas de mantenimiento; la experiencia previa práctica en reparaciones o mantenimiento de instalaciones es una ventaja.
● Deseo de aprender, seguir instrucciones y asistir al equipo de Mantenimiento para asegurar que los apartamentos estén seguros, cómodos y bien mantenidos.</t>
  </si>
  <si>
    <t>L3APT041</t>
  </si>
  <si>
    <t>OFICINA DE CERVEJA</t>
  </si>
  <si>
    <t>Industrias Alimentarias.
Oficina da Cerveja es una cervecería y centro de elaboración casera de cerveza con sede en Lisboa, fundado por Gonçalo Sant’Ana, quien estableció la primera marca de cerveza artesanal de la ciudad, Sant’Ana LX Brewery, en 2014. La instalación alberga tanto la cervecería como una tienda minorista que ofrece equipos y suministros para la elaboración casera de cerveza. También sirve como lugar para talleres y eventos relacionados con la cerveza artesanal.</t>
  </si>
  <si>
    <t>L3APT042</t>
  </si>
  <si>
    <t>POSITEC</t>
  </si>
  <si>
    <t>Electrónica y Automatización
Positec – Instalación, Mantenimiento de Sistemas Eléctricos es una empresa con sede en Lisboa que se especializa en la instalación, mantenimiento y reparación de sistemas eléctricos y electrónicos, incluyendo seguridad, control de acceso y automatización de edificios. La empresa ofrece soluciones personalizadas con un enfoque en la calidad y la seguridad.
Tareas:
- Apoyo en tareas eléctricas y de automatización eléctrica.
- Colaboración en actividades de automatización neumática.
- Participación en el montaje y mantenimiento mecánico.
- Apoyo en el montaje y mantenimiento electro-electrónico.
Requisitos:
● Educación o formación en Electricidad, Mecatrónica, Automatización o un campo técnico relacionado.
● Comprensión básica de sistemas eléctricos, electrónicos, neumáticos o mecánicos e interés por el trabajo técnico práctico.
● Entusiasmo por aprender, seguir instrucciones y ayudar al equipo en tareas de ensamblaje, mantenimiento y automatización.</t>
  </si>
  <si>
    <t>L3APT043</t>
  </si>
  <si>
    <t>WOTELS</t>
  </si>
  <si>
    <t>Instalación y Mantenimiento. 
WOTELS es una marca de hospitalidad vibrante e innovadora en Portugal, que ofrece una amplia gama de alojamientos, incluyendo hoteles, hostales, aparthoteles y pensiones, incluyendo varios hostales en Lisboa que atienden a viajeros y mochileros. Son conocidos por ofrecer alojamientos asequibles, cómodos y sociales. Los hostales WOTELS son espacios dinámicos que combinan funcionalidad con un ambiente acogedor.
Tareas:
Bajo supervisión, ayudar a mantener los sistemas de plomería, eléctricos y mecánicos del hotel, asegurando que todos los sistemas funcionen de manera eficiente.
Realizar inspecciones rutinarias de las habitaciones de los huéspedes, áreas públicas y áreas internas del hotel para asegurar que todo esté en buen estado de funcionamiento.
Realizar reparaciones menores y asistir a los técnicos senior en reparaciones más complejas.
Ayudar en la solución de fallas de equipos y en la resolución de problemas de mantenimiento en áreas críticas.
Asistir en tareas de mantenimiento preventivo, como revisar filtros, inspeccionar sistemas eléctricos y probar alarmas contra incendios.
Requisitos:
● Educación o formación en Electricidad, Mecánica, Plomería o Mantenimiento de Instalaciones, o en un campo técnico relacionado.
● Conocimientos básicos de prácticas y sistemas de mantenimiento; la experiencia práctica previa es un plus.
● Disposición para aprender, seguir instrucciones y asistir a los técnicos senior en inspecciones, reparaciones y tareas de mantenimiento preventivo.</t>
  </si>
  <si>
    <t>L3APT044</t>
  </si>
  <si>
    <t>L3APT045</t>
  </si>
  <si>
    <t>L3APT046</t>
  </si>
  <si>
    <t>L3APT047</t>
  </si>
  <si>
    <t>L3APT048</t>
  </si>
  <si>
    <t>L3APT049</t>
  </si>
  <si>
    <t>L3APT050</t>
  </si>
  <si>
    <t>L3APT051</t>
  </si>
  <si>
    <t>L3APT052</t>
  </si>
  <si>
    <t>L3APT053</t>
  </si>
  <si>
    <t>L3APT054</t>
  </si>
  <si>
    <t>L3APT055</t>
  </si>
  <si>
    <t>L3APT056</t>
  </si>
  <si>
    <t>L3APT057</t>
  </si>
  <si>
    <t>L3AMT058</t>
  </si>
  <si>
    <t>ALAN MICALLEF</t>
  </si>
  <si>
    <t>Edificación y obra civil
Alan Micallef Surveying Services es una firma de topografía de terrenos de confianza en Żurrieq, Malta, con más de 25 años de experiencia. Ofrecen una amplia gama de servicios, incluidos levantamientos topográficos, como construidos, de límites, arqueológicos y estructurales, utilizando técnicas avanzadas como fotogrametría, mapeo con drones, posicionamiento GNSS, escaneo láser y monitoreo geodésico.
Las tareas relacionadas con la experiencia laboral pueden incluir:
• Asistir en la marcación del sitio y levantamientos topográficos para proyectos de construcción e ingeniería
• Apoyar a los técnicos en la elaboración de planos 2D en CAD y modelos 3D
• Ayudar en la operación de drones para levantamientos topográficos de edificios y recopilación de datos geoespaciales
• Asistir en levantamientos de límites, planos de arrendamiento y medición de áreas</t>
  </si>
  <si>
    <t>L3AMT059</t>
  </si>
  <si>
    <t xml:space="preserve"> AQUILINA &amp; SAMMUT ALESSI ARCHITECTS &amp; CIVIL ENGINEERS</t>
  </si>
  <si>
    <t>Edificación y obra civil
Aquilina &amp; Sammut Alessi es una firma de arquitectura e ingeniería civil bien establecida con sede en Balzan, Malta, fundada sobre asociaciones con más de 55 años de experiencia combinada. Ofrecen servicios en arquitectura, diseño estructural, tasaciones, Causa Mortis (herencia de propiedades) y diseño de interiores, combinando precisión técnica con visión creativa.
Las tareas de la experiencia laboral pueden incluir: 
• Apoyar las fases de diseño arquitectónico, incluyendo bocetos conceptuales y elaboración de planos en CAD
• Asistir en evaluaciones de diseño estructural y cálculos de carga
• Colaborar en tareas de diseño de interiores como planificación espacial y representaciones visuales
• Participar en la correspondencia con clientes, coordinación de proyectos y tareas de documentación
• Observar la práctica profesional en el cumplimiento de normas de construcción e integración del diseño</t>
  </si>
  <si>
    <t>L3AMT060</t>
  </si>
  <si>
    <t>BAJADA NEW ENERGY</t>
  </si>
  <si>
    <t>Energía y agua mecánica
Bajada New Energy lidera el mercado de Malta en soluciones de energía renovable y sistemas de agua sostenibles. Se especializan en sistemas solares fotovoltaicos, calentadores de agua solares, carga de vehículos eléctricos, filtración de agua, bombas de calor, HVAC y sistemas industriales de tratamiento de agua, atendiendo tanto a clientes residenciales como comerciales a gran escala.
Las responsabilidades de la experiencia laboral pueden incluir: 
• Apoyar en la instalación de sistemas solares fotovoltaicos y calentadores de agua
• Asistir en el mantenimiento y configuración de sistemas de filtración de agua
• Ayudar en el despliegue y prueba de cargadores de vehículos eléctricos (EV)
• Participar en el mantenimiento de sistemas HVAC o bombas de calor
• Apoyar las operaciones postventa y brindar asistencia al cliente.</t>
  </si>
  <si>
    <t>L3AMT061</t>
  </si>
  <si>
    <t>BAVARIAN TECHNOLOGY SERVICES</t>
  </si>
  <si>
    <t>Electricidad y electrónica
Asistencia en el ensamblaje básico de PCB y productos electrónicos
• Ayuda con las pruebas y el empaquetado de productos
• Apoyo en la verificación de existencias y tareas sencillas de inventario
• Observación de los procesos de control de calidad
• Asistencia al personal en el trabajo diario de producción</t>
  </si>
  <si>
    <t>L3AMT062</t>
  </si>
  <si>
    <t xml:space="preserve">ELECTROTECHNIK </t>
  </si>
  <si>
    <t>Electricidad y electrónica
Elektrotechnik es un proveedor de soluciones electrónicas y eléctricas innovador en Malta. Distribuyen productos y servicios de alta tecnología a través de diversas industrias—incluyendo energía, tecnología de edificios e iluminación, marina, transporte, automotriz, offshore y más—con un enfoque en paneles de control, sistemas energéticos, monitoreo, detección de incendios y gases, y soluciones de gestión de luz y agua.
Asistencia en el diseño de paneles de control, soporte en el ensamblaje y flujos de trabajo de prueba.
• Apoyo en instalaciones o mantenimiento de sistemas de energía y monitoreo.
• Ayuda en la gestión de iluminación o configuración de monitoreo remoto (por ejemplo, sistemas habilitados con IA).
• Participación en la planificación de sistemas de seguridad, incluyendo equipos de detección de incendios, gas o medioambientales.
• Colaboración en la logística de productos, como procesamiento de pedidos, apoyo en almacén y comunicación entre clientes y proveedores.
• Asistencia con documentación técnica, consultas con clientes o tareas de coordinación con proveedores.</t>
  </si>
  <si>
    <t>L3AMT063</t>
  </si>
  <si>
    <t>JAGUAR INDUSTRI</t>
  </si>
  <si>
    <t>Electricidad y electrónica.
especializado en el ensamblaje industrial de electrónica, establecido en 2001. Manejan con experiencia el ensamblaje de PCB utilizando procesos tanto SMT como THT, realizando el ensamblaje final del producto y cumpliendo con las inspecciones estándar de la industria (IPC-A-610). Su gama de productos incluye relés de estado sólido, controladores de temperatura, controladores de motores y fuentes de alimentación, suministrados bajo NDA a clientes en Europa, Asia y América del Norte.
•Asistir con el ensamblaje básico de PCB y productos electrónicos
•Ayudar con las pruebas de productos y el embalaje
•Apoyar en la verificación de inventarios y tareas simples de existencias
•Observar los procesos de control de calidad
•Asistir al personal con el trabajo de producción diario</t>
  </si>
  <si>
    <t>L3AMT064</t>
  </si>
  <si>
    <t>MAYPOLE</t>
  </si>
  <si>
    <t>Industrias Alimentarias.
Maypole es una panadería industrial y grupo de fabricación de alimentos gestionado por una familia en Malta, con un fuerte enfoque en pan, productos horneados dulces y salados, y artículos para fiestas. Operando desde una moderna instalación de producción en Qormi Ħandaq, también gestionan una cadena de aproximadamente 28-30 tiendas de confitería al por menor en Malta y Gozo. La empresa equilibra la herencia tradicional de la panadería maltesa con la innovación y los estándares de seguridad alimentaria.
Asistir en la producción de pan, pastelería y confitería en la instalación industrial.
• Apoyar los procesos de control de calidad y garantizar el cumplimiento de los estándares de seguridad alimentaria.
• Participar en tareas de logística como control de inventario, empaquetado y distribución.
• Ayudar en las operaciones diarias en los establecimientos minoristas, incluyendo atención al cliente y comercialización.
• Contribuir a la documentación de recetas, pruebas de productos y apoyo en contenido de marketing.</t>
  </si>
  <si>
    <t>L3AMT065</t>
  </si>
  <si>
    <t>NERIKU CATERING</t>
  </si>
  <si>
    <t>Industrias Alimentarias.
Neriku Ltd es una de las principales empresas de catering de Malta, operando desde 1969. La compañía se especializa en catering para eventos como bodas, reuniones corporativas y funciones privadas, así como en catering por contrato, que entrega comidas diariamente a los sectores de salud, educación, turismo y negocios. Con una fuerte herencia familiar, Neriku es conocida por combinar tradición e innovación en la industria de la alimentación y la hospitalidad.
• Asistir en las operaciones de catering para residencias de ancianos, bodas, eventos corporativos, etc.
• Participar en la preparación de alimentos y en los procesos de control de calidad.
• Ayudar en la planificación de menús y en la preparación de eventos.
• Colaborar en la coordinación con los clientes y en la prestación del servicio.
• Realizar controles de inventario y apoyar en actividades de almacén/logística.
• Colaborar con el personal en la distribución diaria de comidas a los clientes.</t>
  </si>
  <si>
    <t>L3AMT066</t>
  </si>
  <si>
    <t>PROFESSIONAL SURVEY SERVICES</t>
  </si>
  <si>
    <t>Edificación y obra civil.
Se especializa en topografía de terrenos y construcción en Malta y Gozo. Ofrecen servicios precisos, fiables y rápidos, incluyendo levantamientos topográficos, replanteo de obras, dibujos CAD, medición de áreas, levantamientos de edificios mediante UAVs (drones), planos de arrendamiento y levantamientos de límites, estudios de ingeniería, y más.
Asistencia en la marcación de sitios y encuestas topográficas para proyectos de construcción e ingeniería
• Apoyo a los técnicos en la elaboración de planos CAD 2D y modelos 3D
• Ayuda en la operación de drones para levantamientos medidos de edificios y recopilación de datos geoespaciales
• Asistencia en encuestas de límites, planos de arrendamiento y medición de áreas</t>
  </si>
  <si>
    <t>L3AMT067</t>
  </si>
  <si>
    <t>SEIFERT SYSTEMS</t>
  </si>
  <si>
    <t>Energía y Agua mecánica.
Seifert Systems es un líder establecido a nivel mundial en gestión térmica industrial, ofreciendo soluciones para ventilar, enfriar, deshumidificar, calentar, controlar e iluminar envolventes eléctricas y maquinaria en sectores como automatización, telecomunicaciones, medicina, procesamiento de alimentos y automotriz.
Assisting with product testing or setup for thermal management systems
• Supporting client service tasks—troubleshooting or maintenance
• Helping with documentation, reporting, and ESG initiatives
• Participating in product demonstrations or skills training
• Assisting in technical support and cataloging new components</t>
  </si>
  <si>
    <t>L3AMT068</t>
  </si>
  <si>
    <t>L3AMT069</t>
  </si>
  <si>
    <t>L3AMT070</t>
  </si>
  <si>
    <t>L3AMT071</t>
  </si>
  <si>
    <t>L3AMT072</t>
  </si>
  <si>
    <t>L3AMT073</t>
  </si>
  <si>
    <t>L3AMT074</t>
  </si>
  <si>
    <t>L3AMT075</t>
  </si>
  <si>
    <t>L3AMT076</t>
  </si>
  <si>
    <t>L3AMT077</t>
  </si>
  <si>
    <t>L3AMT078</t>
  </si>
  <si>
    <t>L3AMT079</t>
  </si>
  <si>
    <t>L3AMT080</t>
  </si>
  <si>
    <t>L3ATR081</t>
  </si>
  <si>
    <t>ESTAMBUL</t>
  </si>
  <si>
    <t>4A ELEKTRIK ELEKTRONIK</t>
  </si>
  <si>
    <t>Electricidad y Electrónica.
Empresa de ingeniería eléctrica de Estambul fundada en 2005. Ofrece soluciones llave en mano para comunicaciones y protección de sistemas de energía, incluidos sistemas SCADA modernos, y proporciona servicios in situ (pruebas y puesta en marcha) para proyectos energéticos.</t>
  </si>
  <si>
    <t>L3ATR082</t>
  </si>
  <si>
    <t>ANT YAPI</t>
  </si>
  <si>
    <t>Electricidad y Electrónica.
Una empresa internacional de construcción y desarrollo con sede en Ümraniye, Estambul. Ant Yapı se especializa en edificios a gran escala para los sectores de construcción, turismo y servicios en Turquía y en el extranjero. Ha completado más de 10 millones de metros cuadrados en proyectos desde Turquía hasta Estados Unidos. El lema de la empresa es “Hacer mejor mañana”, reflejando su enfoque en la innovación.</t>
  </si>
  <si>
    <t>L3ATR083</t>
  </si>
  <si>
    <t>ARCPUN</t>
  </si>
  <si>
    <t>Electricidad y Electrónica.
Una empresa de Estambul especializada en la instalación y mantenimiento de sistemas eléctricos. Los ingenieros de ArcPun diseñan e instalan infraestructuras eléctricas para edificios y sitios industriales, y ofrecen servicios de mantenimiento, reparación y pruebas (transformadores, UPS, generadores, cuadros de distribución, pruebas de puesta a tierra y seguridad, etc.). Fundada en 2000, la empresa enfatiza la calidad y la satisfacción del cliente en todos los proyectos.</t>
  </si>
  <si>
    <t>L3ATR084</t>
  </si>
  <si>
    <t>ASEL MEKANIK TESISAT</t>
  </si>
  <si>
    <t>Electricidad y Electrónica.
Empresa de instalaciones mecánicas conocida por sus soluciones de calefacción y refrigeración, que presta servicios en la región de Estambul.</t>
  </si>
  <si>
    <t>L3ATR085</t>
  </si>
  <si>
    <t>AYTES MÜHENDISLIK</t>
  </si>
  <si>
    <t>Electricidad y Electrónica. 
Una empresa líder en Estambul en contratación de MEP (mecánica, eléctrica y fontanería). Con más de 30 años de experiencia, Aytes es “una de las empresas más conocidas, preferidas y confiables” en sistemas mecánicos, abarcando instalaciones de gas natural, calefacción, refrigeración, ventilación, energía solar y prevención de incendios. Proporciona instalaciones llave en mano de sistemas HVAC y de fontanería para hoteles, oficinas y proyectos industriales.</t>
  </si>
  <si>
    <t>L3ATR086</t>
  </si>
  <si>
    <t>BAYNET İNŞAAT (MAXIMUM GROUP)</t>
  </si>
  <si>
    <t>Electricidad y Electrónica. 
Empresa de construcción fundada en 2009, Baynet ha ganado una sólida reputación por la calidad en proyectos residenciales y comerciales. Fue nombrada “Marca de Construcción del Año” en 2022 por sus desarrollos de mediana y gran escala. Baynet enfatiza diseños ecológicos y energéticamente eficientes, así como métodos de construcción innovadores.</t>
  </si>
  <si>
    <t>L3ATR087</t>
  </si>
  <si>
    <t>BKO YAPI İNŞAAT</t>
  </si>
  <si>
    <t>Electricidad y Electrónica. 
Bko Yapı İnşaat es una empresa de construcción con sede en Estambul, fundada en 2011, que se especializa en servicios de contratación y construcción general (“kaba inşaat”). La empresa pone énfasis en la calidad, la rapidez y la fiabilidad, con el objetivo de entregar proyectos a nivel mundial. Su sede se encuentra en Gaziosmanpaşa, Estambul.</t>
  </si>
  <si>
    <t>L3ATR088</t>
  </si>
  <si>
    <t>DETAY GIDA</t>
  </si>
  <si>
    <t>Industrias Alimentarias.
Conocida como Detay Chocolate, es una confitería y fabricante de chocolate de Estambul fundada en 2008 como parte del Grupo Altınmarka. Opera varias plantas de producción en el área de Estambul y tiene una capacidad de producción anual de aproximadamente 60,000 toneladas, atendiendo a los mercados de panadería, confitería, chocolate y helados</t>
  </si>
  <si>
    <t>L3ATR089</t>
  </si>
  <si>
    <t>EEC ELECTRONICS</t>
  </si>
  <si>
    <t>Electricidad y Electrónica. 
Un fabricante con sede en Estambul de equipos de iluminación de emergencia y control. Con más de 40 años en el sector, EEC es un importante productor/exportador de señales de salida de emergencia profesionales, luminarias y productos de iluminación. La empresa cuenta con certificaciones ENEC, TÜV e ISO y suministra productos OEM/ODM en todo el mundo.</t>
  </si>
  <si>
    <t>L3ATR090</t>
  </si>
  <si>
    <t>GLOBAL MÜHENDISLIK</t>
  </si>
  <si>
    <t>Electricidad y Electrónica. Global Mühendislik A.Ş. (Compañía de Ingeniería Global) es una empresa de servicios mecánicos y contratista de Estambul fundada en 2015. Ofrece servicios de diseño y contratación de instalaciones mecánicas (HVAC-R, protección contra incendios, sistemas de gas natural, etc.) llave en mano para proyectos de construcción, y enfatiza la calidad, la seguridad y una ingeniería confiable en todas las fases.</t>
  </si>
  <si>
    <t>L3ATR091</t>
  </si>
  <si>
    <t>HAM MADDE MÜHENDISLIK</t>
  </si>
  <si>
    <t>Electricidad y Electrónica. Un contratista mecánico con sede en Estambul especializado en sistemas de HVAC, fontanería y seguridad contra incendios. Ham Madde ofrece servicios completos de instalación mecánica, incluyendo sistemas de calefacción/refrigeración, líneas de agua doméstica e industrial, aguas residuales, aire comprimido, vapor, gas natural y sistemas de calentamiento de agua solar. La empresa atiende a grandes edificios e instalaciones industriales.</t>
  </si>
  <si>
    <t>L3ATR092</t>
  </si>
  <si>
    <t>HILIFE</t>
  </si>
  <si>
    <t>Industrias Alimentarias.
Un fabricante turco de galletas, chocolate y aperitivos con sede en Ataşehir, Estambul. HiLife “es uno de los actores más exitosos” en la industria moderna de galletas y aperitivos de Turquía. Produce pasteles, obleas, galletas, gomitas y más para venta nacional y exportación. La empresa exporta a nivel mundial a través de distribuidores y tiene una gama de productos que incluye galletas, chocolates, obleas y productos de panadería</t>
  </si>
  <si>
    <t>L3ATR093</t>
  </si>
  <si>
    <t>IMESA MEKANIK HAVALANDIRMA</t>
  </si>
  <si>
    <t>Electricidad y Electrónica. 
Ofrece servicios 24/7 para la instalación, modificación, mantenimiento y reparación de sistemas de ventilación, brindando a Estambul soluciones de ventilación mecánica confiables y rápidas</t>
  </si>
  <si>
    <t>L3ATR094</t>
  </si>
  <si>
    <t>IMK İNŞAAT MAKINA VE KIMYA</t>
  </si>
  <si>
    <t>Electricidad y Electrónica. 
Empresa de ingeniería mecánica con sede en Estambul, fundada en 1999 imkmakina.com.tr. Se especializa en contrataciones de HVAC (calefacción, ventilación y aire acondicionado) y fontanería para proyectos de construcción, ofreciendo soluciones mecánicas llave en mano con un enfoque en la calidad y la fiabilidad.</t>
  </si>
  <si>
    <t>L3ATR095</t>
  </si>
  <si>
    <t>ISTANBUL GÖZDE GIDA</t>
  </si>
  <si>
    <t>Industrias Alimentarias.
İstanbul Gözde Gıda, conocida como Gözde Ekmek, opera una moderna planta de producción de pan en Estambul, especializada en productos de panadería de alta calidad con sistemas de embalaje y entrega de última generación</t>
  </si>
  <si>
    <t>L3ATR096</t>
  </si>
  <si>
    <t>ISTANBUL MÜHENDISLIK</t>
  </si>
  <si>
    <t>Electricidad y Electrónica. 
Esta empresa ofrece servicios eléctricos integrales, incluyendo pruebas de puesta a tierra e instalaciones internas, protección contra rayos, inspecciones con cámara térmica, pruebas de generadores, mediciones de resistencia de aislamiento y revisiones periódicas de sistemas de detección de incendios. Operan de acuerdo con las normas legales e internacionales.</t>
  </si>
  <si>
    <t>L3ATR097</t>
  </si>
  <si>
    <t>KOSKA</t>
  </si>
  <si>
    <t>Industrias Alimentarias.
Una confitería familiar con un siglo de antigüedad, Koska es uno de los fabricantes de halva y delicias turcas más conocidos de Turquía. Lleva "los placeres naturales de Koska a tu mesa" después de 115 años en el negocio. La empresa, con sede en Avcılar, produce tahini, helva, mermeladas, miel y una amplia gama de dulces tradicionales.</t>
  </si>
  <si>
    <t>L3ATR098</t>
  </si>
  <si>
    <t>MF MEKANIK</t>
  </si>
  <si>
    <t>Electricidad y Electrónica. Fundada en 2010, MF Mekanik ofrece soporte profesional y servicios en reparación de calderas y quemadores, sistemas de bombas hidroneumáticas, servicios de sistemas contra incendios (incluyendo bombas contra incendios y rociadores), y mantenimiento de bombas de circulación en Estambul y sus alrededores.</t>
  </si>
  <si>
    <t>L3ATR099</t>
  </si>
  <si>
    <t>OSAN INSAAT</t>
  </si>
  <si>
    <t>Electricidad y Electrónica.
Establecida en 1995, Osan İnşaat San. ve Dış Tic. Ltd. Şti. es una empresa de construcción y excavación de mediana escala respetada en Estambul. Enfatizan el profesionalismo, la creatividad y el crecimiento constante en servicios tanto de infraestructura como de construcción.</t>
  </si>
  <si>
    <t>L3ATR100</t>
  </si>
  <si>
    <t>PCI ELEKTRONIK</t>
  </si>
  <si>
    <t>Electricidad y Electrónica.
Fabricante de electrónica en Estambul centrado en sistemas de control para electrodomésticos y equipos industriales. PCI produce módulos electrónicos duraderos y rentables para electrodomésticos, automatización industrial, iluminación, calefacción, audio y sistemas de hogar inteligente. Son un proveedor líder turco de EMS/PCBA con capacidades de producción en gran volumen y respuesta rápida en I+D.</t>
  </si>
  <si>
    <t>L3ATR101</t>
  </si>
  <si>
    <t>RM ISTANBUL</t>
  </si>
  <si>
    <t>Instalación y Mantenimiento.
Una empresa de soluciones industriales y mantenimiento con sede en Ümraniye, Estambul. RM Estambul ofrece servicios llave en mano desde el diseño y la creación de prototipos hasta la producción y la instalación en el sitio, y proporciona un servicio postventa completo para sus productos. Su taller industrial en Kocaeli produce maquinaria personalizada, mientras que la oficina de Estambul se encarga de la gestión de proyectos y del mantenimiento.</t>
  </si>
  <si>
    <t>L3ATR102</t>
  </si>
  <si>
    <t>L3ATR103</t>
  </si>
  <si>
    <t>L3ATR104</t>
  </si>
  <si>
    <t>L3ATR105</t>
  </si>
  <si>
    <t>L3ATR106</t>
  </si>
  <si>
    <t>L3ATR107</t>
  </si>
  <si>
    <t>L3ATR108</t>
  </si>
  <si>
    <t>L3ATR109</t>
  </si>
  <si>
    <t>L3ATR110</t>
  </si>
  <si>
    <t>L3ATR111</t>
  </si>
  <si>
    <t>L3ATR112</t>
  </si>
  <si>
    <t>L3ATR113</t>
  </si>
  <si>
    <t>L3ATR114</t>
  </si>
  <si>
    <t>L3ATR115</t>
  </si>
  <si>
    <t>L3ATR116</t>
  </si>
  <si>
    <t>L3ATR117</t>
  </si>
  <si>
    <t>L3ATR118</t>
  </si>
  <si>
    <t>L3ATR119</t>
  </si>
  <si>
    <t>L3ATR120</t>
  </si>
  <si>
    <t>L3ATR121</t>
  </si>
  <si>
    <t>L3ATR122</t>
  </si>
  <si>
    <t>L3ATR123</t>
  </si>
  <si>
    <t>L3AMT124</t>
  </si>
  <si>
    <t>L3AMT125</t>
  </si>
  <si>
    <t>Energía y Agua mecánica.
Seifert Systems es un líder establecido a nivel mundial en gestión térmica industrial, ofreciendo soluciones para ventilar, enfriar, deshumidificar, calentar, controlar e iluminar envolventes eléctricas y maquinaria en sectores como automatización, telecomunicaciones, medicina, procesamiento de alimentos y automotriz.
Asistir con pruebas de productos o configuración de sistemas de gestión térmica
• Apoyar en tareas de servicio al cliente: resolución de problemas o mantenimiento
• Ayudar con la documentación, informes e iniciativas ESG
• Participar en demostraciones de productos o capacitación de habilidades
• Colaborar en soporte técnico y en la catalogación de nuevos componentes</t>
  </si>
  <si>
    <t>L3ATR126</t>
  </si>
  <si>
    <t>L3ATR127</t>
  </si>
  <si>
    <t>L3ATR128</t>
  </si>
  <si>
    <t>L3ATR129</t>
  </si>
  <si>
    <t>L3ATR130</t>
  </si>
  <si>
    <t>SECTOR SERVICIOS</t>
  </si>
  <si>
    <t>L4AIT001</t>
  </si>
  <si>
    <t>AGENCIA DE MARKETING</t>
  </si>
  <si>
    <t>El perfil corresponde a un asistente de redes sociales, colaborando en la creación y publicación de contenidos, así como en la interacción con la comunidad digital.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</si>
  <si>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L4AIT002</t>
  </si>
  <si>
    <t>El perfil corresponde a un asistente de marketing digital, colaborando en la gestión de campañas, análisis de resultados y apoyo en estrategias online.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</si>
  <si>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L4AIT003</t>
  </si>
  <si>
    <t>El perfil corresponde a un asistente de branding y comunicación, colaborando en la elaboración de contenidos, estrategias de comunicación y apoyo en la proyección de la marca.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</si>
  <si>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L4AIT004</t>
  </si>
  <si>
    <t>ESTABLECIMIENTO HOSTELERO</t>
  </si>
  <si>
    <t>El perfil corresponde a un ayudante de camarero/a, realizando tareas relacionadas con el servicio, la atención al cliente y el mantenimiento del área de trabajo.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</si>
  <si>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L4AIT005</t>
  </si>
  <si>
    <t>El perfil corresponde a un asistente de cocina (intermedio), realizando tareas relacionadas con la preparación de alimentos y el mantenimiento de la cocina.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</si>
  <si>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L4AIT006</t>
  </si>
  <si>
    <t>PANADERÍA ARTESANAL</t>
  </si>
  <si>
    <t>El perfil corresponde a un auxiliar de panadería / panificación (intermedio), realizando tareas relacionadas con la elaboración de productos de panadería y el mantenimiento del obrador.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</si>
  <si>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L4AIT007</t>
  </si>
  <si>
    <t>CENTRO DE ESTÉTICA Y BELLEZA</t>
  </si>
  <si>
    <t>El perfil corresponde a un auxiliar de peluquería y estética, colaborando en servicios de lavado, peinados básicos, tratamientos estéticos y atención al cliente.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</si>
  <si>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L4AIT008</t>
  </si>
  <si>
    <t>EMPRESA DE PRODUCCIÓN AUDIOVISUAL Y SONORA</t>
  </si>
  <si>
    <t>El perfil corresponde a un técnico asistente de sonido, colaborando en tareas relacionadas con equipos de audio y apoyo en producciones sonoras.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</si>
  <si>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L4AIT009</t>
  </si>
  <si>
    <t>TALLER MECÁNICO</t>
  </si>
  <si>
    <t>El perfil corresponde a un ayudante de mecánica industrial o de automoción, colaborando en tareas de mantenimiento, revisión y apoyo en talleres.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</si>
  <si>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L4AIT010</t>
  </si>
  <si>
    <t>El perfil corresponde a un mecánico de automóviles y vehículos (intermedio), colaborando en el mantenimiento, revisión y reparación de vehículos.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</si>
  <si>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L4AIT011</t>
  </si>
  <si>
    <t>BARCELLONA POZZO DI GOTTO</t>
  </si>
  <si>
    <t>El perfil corresponde a un técnico de mantenimiento y reparación de vehículos, colaborando en el diagnóstico, mantenimiento y reparación de vehículos.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</si>
  <si>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L4AIT012</t>
  </si>
  <si>
    <t>El perfil corresponde a un asistente de cocina en hotel, colaborando en la preparación de alimentos y en el mantenimiento general de la cocina.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</si>
  <si>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L4AIT013</t>
  </si>
  <si>
    <t>El perfil corresponde a un asistente de marketing y producción audiovisual, colaborando en la creación de contenidos y en el desarrollo de proyectos audiovisuales y de marketing.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</si>
  <si>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L4AIT014</t>
  </si>
  <si>
    <t>El perfil corresponde a un auxiliar de peluquería y estética, colaborando en el cuidado personal, la prestación de servicios básicos de salón y la atención al cliente.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</si>
  <si>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L4AIT015</t>
  </si>
  <si>
    <t>EMPRESA DE SERVICIOS ADMINISTRATIVOS</t>
  </si>
  <si>
    <t>El perfil corresponde a un auxiliar administrativo, realizando tareas relacionadas con la gestión documental, facturación y organización administrativa.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</si>
  <si>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L4AIT016</t>
  </si>
  <si>
    <t>El perfil corresponde a un asistente de redes sociales, realizando tareas relacionadas con la gestión y mantenimiento de la presencia digital de la empresa.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</si>
  <si>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L4AIT017</t>
  </si>
  <si>
    <t>L4AIT018</t>
  </si>
  <si>
    <t>L4AIT019</t>
  </si>
  <si>
    <t>El perfil corresponde a un ayudante de camarero, realizando tareas relacionadas con el servicio, la atención al cliente y el mantenimiento del área de trabajo.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</si>
  <si>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L4AIT020</t>
  </si>
  <si>
    <t>L4AIT021</t>
  </si>
  <si>
    <t>L4AIT022</t>
  </si>
  <si>
    <t>EMPRESA DE TURISMO Y EXPERIENCIAS</t>
  </si>
  <si>
    <t>El perfil corresponde a un asistente de información turística, realizando tareas relacionadas con la atención a visitantes, orientación y organización de actividades turísticas. No obstante, se podrá considerar también a candidatos cuyo perfil no coincida exactamente, pudiendo ajustarse las funciones del puesto según las capacidades y experiencia del candidato. Los vuelos se organizarán desde Valencia o Alicante, según la disponibilidad y logística del viaje, y las fechas de ida y vuelta podrán ajustarse según la planificación final.</t>
  </si>
  <si>
    <t>L4AIT023</t>
  </si>
  <si>
    <t>L4AIT024</t>
  </si>
  <si>
    <t>L4AIT025</t>
  </si>
  <si>
    <t>El perfil corresponde a un ayudante de mecánico industrial o de automoción, apoyando en tareas de mantenimiento y revisión en talleres.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</si>
  <si>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L4AIT026</t>
  </si>
  <si>
    <t>El perfil corresponde a un mecánico de automóviles y vehículos (intermedio), apoyando en tareas de mantenimiento, revisión y reparación de vehículos.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</si>
  <si>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L4AIT027</t>
  </si>
  <si>
    <t>EMPRESA DE TURISMO Y CULTURA</t>
  </si>
  <si>
    <t>El perfil corresponde a un asistente de turismo cultural y sostenible, apoyando en la organización y coordinación de actividades turísticas y culturales.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</si>
  <si>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L4AIT028</t>
  </si>
  <si>
    <t>El perfil corresponde a un asistente de producción y sonido, apoyando en la coordinación y ejecución de eventos y producciones.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</si>
  <si>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L4AIT029</t>
  </si>
  <si>
    <t>El perfil corresponde a un asistente administrativo, apoyando en la gestión de documentación, organización de tareas y soporte general en la oficina.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</si>
  <si>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L4AIT030</t>
  </si>
  <si>
    <t>El perfil corresponde a un asistente de mantenimiento de vehículos, apoyando en diagnóstico, reparación y mantenimiento general, incluyendo tareas mecánicas y eléctricas.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</si>
  <si>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L4AIT031</t>
  </si>
  <si>
    <t>El perfil corresponde a un asistente de cocina en hotel, apoyando en la preparación de alimentos y el funcionamiento general de la cocina.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</si>
  <si>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L4AIT032</t>
  </si>
  <si>
    <t>El perfil corresponde a un asistente de marketing y producción audiovisual, apoyando en la creación y gestión de contenidos, así como en actividades de marketing y comunicación digital.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</si>
  <si>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L4AMT033</t>
  </si>
  <si>
    <t>El perfil corresponde a un administrativo, apoyando en tareas de oficina, gestión de documentos y coordinación entre departamentos.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</si>
  <si>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L4AMT034</t>
  </si>
  <si>
    <t>El perfil corresponde a un officer de marketing, apoyando en actividades de promoción, planificación de campañas y coordinación de materiales y eventos.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</si>
  <si>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L4AMT035</t>
  </si>
  <si>
    <t>El perfil corresponde a un ayudante de camarero, apoyando en atención a clientes, servicio en sala y mantenimiento del área de trabajo.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</si>
  <si>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L4AMT036</t>
  </si>
  <si>
    <t>EMPRESA DE TURISMO Y EDUCACIÓN</t>
  </si>
  <si>
    <t>El perfil corresponde a un auxiliar de agencia de viajes, apoyando en la gestión de reservas, información a clientes y coordinación de servicios turísticos.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</si>
  <si>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L4AMT037</t>
  </si>
  <si>
    <t>El perfil corresponde a un auxiliar de peluquería y estética, apoyando en servicios básicos de salón, organización del espacio y atención a clientes.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</si>
  <si>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L4AMT038</t>
  </si>
  <si>
    <t>EMPRESA DE PRODUCCIÓN AUDIOVISUAL</t>
  </si>
  <si>
    <t>El perfil corresponde a un técnico de sonido, apoyando en tareas básicas relacionadas con la preparación, ajuste y asistencia en la edición de audio, así como en el soporte general a las necesidades del equipo durante los proyectos.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</si>
  <si>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L4AMT039</t>
  </si>
  <si>
    <t>EMPRESA DE TECNOLOGÍA Y TELECOMUNICACIONES</t>
  </si>
  <si>
    <t>El perfil corresponde a un auxiliar de informática y telecomunicaciones, apoyando en tareas básicas de instalación y mantenimiento, asistencia en la resolución de incidencias, soporte en el funcionamiento de sistemas y redes y ayuda general al equipo técnico.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</si>
  <si>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L4AMT040</t>
  </si>
  <si>
    <t>El perfil corresponde a un auxiliar de mecánica de automóviles, apoyando en tareas básicas de revisión y mantenimiento, asistencia en trabajos sencillos del taller y colaboración en la organización y preparación del espacio de trabajo.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</si>
  <si>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L4AMT041</t>
  </si>
  <si>
    <t>El perfil corresponde a un asistente administrativo, apoyando en tareas básicas de gestión y organización, asistencia en labores de oficina, preparación y manejo de documentación y apoyo general al funcionamiento administrativo.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</si>
  <si>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L4AMT042</t>
  </si>
  <si>
    <t>L4AMT043</t>
  </si>
  <si>
    <t>L4AMT044</t>
  </si>
  <si>
    <t>L4AMT045</t>
  </si>
  <si>
    <t>L4AMT046</t>
  </si>
  <si>
    <t>L4AMT047</t>
  </si>
  <si>
    <t>L4AMT048</t>
  </si>
  <si>
    <t>L4AMT049</t>
  </si>
  <si>
    <t>L4AMT050</t>
  </si>
  <si>
    <t>L4AMT051</t>
  </si>
  <si>
    <t>L4AMT052</t>
  </si>
  <si>
    <t>L4AMT053</t>
  </si>
  <si>
    <t>L4AMT054</t>
  </si>
  <si>
    <t>L4AMT055</t>
  </si>
  <si>
    <t>L4AMT056</t>
  </si>
  <si>
    <t>L4APT057</t>
  </si>
  <si>
    <t>El perfil corresponde a un ayudante de mecánico, apoyando en tareas básicas de revisión y mantenimiento de vehículos, asistencia en preparación de reparaciones, montaje y desmontaje de piezas sencillas y organización del taller.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</si>
  <si>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L4APT058</t>
  </si>
  <si>
    <t>El perfil corresponde a un auxiliar de estética y bienestar, apoyando en tareas básicas del salón, preparación del puesto de trabajo, organización de herramientas y productos, asistencia en servicios sencillos bajo supervisión y mantenimiento de limpieza e higiene.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</si>
  <si>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L4APT059</t>
  </si>
  <si>
    <t>El perfil corresponde a un auxiliar de masajes y bienestar, apoyando en tareas básicas del espacio de trabajo, organización de materiales, asistencia en la atención a clientes, apoyo en masajes sencillos bajo supervisión y mantenimiento de limpieza e higiene.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</si>
  <si>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L4APT060</t>
  </si>
  <si>
    <t>El perfil corresponde a un auxiliar de sonido, apoyando en tareas básicas de preparación de equipos de audio, asistencia en grabaciones y edición sencilla, organización y mantenimiento del material técnico y apoyo general al equipo audiovisual.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</si>
  <si>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L4APT061</t>
  </si>
  <si>
    <t>El perfil corresponde a un asistente de soporte técnico, apoyando en tareas básicas de mantenimiento y organización de equipos y sistemas informáticos, así como en asistencia general al equipo técnico.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</si>
  <si>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L4APT063</t>
  </si>
  <si>
    <t>PORTIMAO</t>
  </si>
  <si>
    <t>El perfil corresponde a un ayudante de camarero, apoyando en tareas básicas de atención a clientes, preparación y organización del área de trabajo y asistencia en el servicio.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</si>
  <si>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L4APT064</t>
  </si>
  <si>
    <t>El perfil corresponde a un auxiliar de cocina, apoyando en tareas básicas de preparación de alimentos, asistencia en la organización y limpieza de la cocina y apoyo general al equipo culinario.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</si>
  <si>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L4APT065</t>
  </si>
  <si>
    <t>AGENCIA DE VIAJES Y ACTIVIDADES TURÍSTICAS</t>
  </si>
  <si>
    <t>El perfil corresponde a un auxiliar de turismo, apoyando en tareas básicas de atención a visitantes, asistencia en la organización de actividades y materiales, y apoyo general en la experiencia turística.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</si>
  <si>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L4APT066</t>
  </si>
  <si>
    <t>L4APT067</t>
  </si>
  <si>
    <t>L4APT068</t>
  </si>
  <si>
    <t>El perfil corresponde a un auxiliar de turismo, apoyando en tareas básicas de atención a visitantes, asistencia en la organización de actividades y materiales y apoyo general en la experiencia turística.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</si>
  <si>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L4APL069</t>
  </si>
  <si>
    <t>El perfil corresponde a un asistente administrativo, apoyando en tareas básicas de gestión de datos, organización de la oficina y asistencia en la preparación de documentos e informes.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</si>
  <si>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L4APL070</t>
  </si>
  <si>
    <t>El perfil corresponde a un camarero, apoyando en tareas básicas de atención a clientes, servicio de alimentos y bebidas, preparación y limpieza del área de trabajo y asistencia al equipo de sala y cocina.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</si>
  <si>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L4APL071</t>
  </si>
  <si>
    <t>El perfil corresponde a un ayudante de cocina, apoyando en tareas básicas de preparación de alimentos, limpieza y organización de la cocina, asistencia al equipo culinario y apoyo general durante el servicio.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</si>
  <si>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L4APL072</t>
  </si>
  <si>
    <t>El perfil corresponde a un asistente en centro de belleza, apoyando en tareas básicas de atención a clientes, preparación del espacio de trabajo, organización de herramientas y productos, y mantenimiento general del centro.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</si>
  <si>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L4APL073</t>
  </si>
  <si>
    <t>TIENDA DE INFORMÁTICA</t>
  </si>
  <si>
    <t>El perfil corresponde a un asistente en tienda de informática, apoyando en tareas básicas de atención a clientes, asistencia en recepción y organización de productos, apoyo en tareas sencillas de soporte técnico y colaboración general en la tienda.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</si>
  <si>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L4APL074</t>
  </si>
  <si>
    <t>DEPARTAMENTO DE MARKETING</t>
  </si>
  <si>
    <t>El perfil corresponde a un asistente de marketing, apoyando en tareas básicas de organización de materiales, asistencia en la gestión de información y apoyo general en actividades promocionales.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</si>
  <si>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L4APL075</t>
  </si>
  <si>
    <t xml:space="preserve">
El perfil corresponde a un asistente en taller de mecánica, apoyando en tareas básicas de revisión y mantenimiento de vehículos, asistencia al cliente y apoyo general en la organización del taller.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</si>
  <si>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L4APL076</t>
  </si>
  <si>
    <t>El perfil corresponde a un asistente en empresa de grabación, apoyando en tareas básicas de preparación y organización del estudio, asistencia en la instalación de equipos y mantenimiento general del espacio de trabajo.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</si>
  <si>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L4APL077</t>
  </si>
  <si>
    <t>EMPRESA DE TURISMO</t>
  </si>
  <si>
    <t>El perfil corresponde a un asistente en turismo, apoyando en tareas básicas de atención a clientes, organización y mantenimiento de materiales y apoyo general en la gestión del espacio.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</si>
  <si>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L4APL078</t>
  </si>
  <si>
    <t>L4APL079</t>
  </si>
  <si>
    <t>El perfil corresponde a un ayudante de cocina, apoyando en tareas básicas de preparación de alimentos, limpieza y organización de la cocina y asistencia general al equipo culinario.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</si>
  <si>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L4APL080</t>
  </si>
  <si>
    <t>L4APL081</t>
  </si>
  <si>
    <t>L4APL082</t>
  </si>
  <si>
    <t>El perfil corresponde a un asistente en turismo, apoyando en tareas básicas de atención a clientes, organización de materiales y mantenimiento general del espacio.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</si>
  <si>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L4APL083</t>
  </si>
  <si>
    <t>El perfil corresponde a un asistente en centro de belleza, colaborando en la atención a clientes, preparando el espacio de trabajo, organizando herramientas y productos y realizando tareas de mantenimiento general del centro.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</si>
  <si>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L4APL084</t>
  </si>
  <si>
    <t>El perfil corresponde a un asistente en empresa de grabación, encargado de ayudar en la instalación de equipos de grabación (micrófonos, cables, instrumentos), preparar el estudio para las sesiones de grabación, organizar y mantener los instrumentos, auriculares y demás equipos del estudio, supervisar los horarios de las sesiones y colaborar en la gestión de reservas, mantener el estudio limpio y organizado, y gestionar cables, accesorios y zonas de almacenamiento. Los vuelos se programarán desde Valencia o Alicante, de acuerdo con la disponibilidad y la organización del viaje. Las fechas de ida y vuelta podrían ajustarse en función de la planificación final.</t>
  </si>
  <si>
    <t>L4APL085</t>
  </si>
  <si>
    <t>El perfil corresponde a un asistente en tienda de informática, encargado de proporcionar información básica sobre productos y servicios, ayudar en la recepción y desembalaje de nuevos envíos, asistir a los técnicos en tareas simples (por ejemplo, instalación de software y resolución básica de problemas), aprender sobre las características y especificaciones de los productos para poder atender consultas de clientes, y colaborar en la preparación de exposiciones y promociones. Los vuelos se programarán desde Valencia o Alicante, de acuerdo con la disponibilidad y la organización del viaje. Las fechas de ida y vuelta podrían ajustarse en función de la planificación final.</t>
  </si>
  <si>
    <t>L4APL086</t>
  </si>
  <si>
    <t>TALLER MECANICO</t>
  </si>
  <si>
    <t>El perfil corresponde a un asistente en taller de mecánica, encargado de brindar asistencia al cliente y apoyar en la organización del taller. Realiza diagnósticos básicos y colabora en el mantenimiento rutinario de los vehículos. Participa en la gestión logística del taller y en la organización general de las tareas diarias. Los vuelos se programarán desde Valencia o Alicante, de acuerdo con la disponibilidad y la organización del viaje. Las fechas de ida y vuelta podrían ajustarse en función de la planificación final.</t>
  </si>
  <si>
    <t>L4APL087</t>
  </si>
  <si>
    <t>El perfil corresponde a un asistente administrativo, encargado de introducir datos y utilizar distintos tipos de software (procesadores de texto, hojas de cálculo, presentaciones, programas de contabilidad y gestión de almacén), apoyar en la emisión de facturas y redacción de otros documentos, mantener organizada el área de oficina y colaborar en la preparación de informes y documentos. Los vuelos se programarán desde Valencia o Alicante, de acuerdo con la disponibilidad y la organización del viaje. Las fechas de ida y vuelta podrían ajustarse en función de la planificación final.</t>
  </si>
  <si>
    <t>L4APL088</t>
  </si>
  <si>
    <t>El perfil corresponde a un asistente de marketing, encargado de actualizar presentaciones, documentos y materiales promocionales, recopilar y organizar datos de mercado, preparar análisis de la competencia y referencias del sector, y apoyar en la creación y mantenimiento de bases de datos y listas de contactos. Los vuelos se programarán desde Valencia o Alicante, de acuerdo con la disponibilidad y la organización del viaje. Las fechas de ida y vuelta podrían ajustarse en función de la planificación final.</t>
  </si>
  <si>
    <t>L4APL089</t>
  </si>
  <si>
    <t>L4APL090</t>
  </si>
  <si>
    <t>L4APL091</t>
  </si>
  <si>
    <t>El perfil corresponde a un asistente en empresa de grabación, asistiendo en la preparación del estudio, instalación de equipos, organización del material y apoyo general durante las sesiones.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</si>
  <si>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L4APL092</t>
  </si>
  <si>
    <t>TIENDA DE INFORMATICA</t>
  </si>
  <si>
    <t>El perfil corresponde a un asistente en tienda de informática, realizando tareas básicas de atención a clientes, recepción y organización de productos, asistencia en soporte técnico sencillo y colaboración en exposiciones y promociones.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</si>
  <si>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L4APL093</t>
  </si>
  <si>
    <t>El perfil corresponde a un asistente en taller de mecánica, participando en la atención a clientes, apoyo en mantenimiento básico de vehículos y organización general del taller.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</si>
  <si>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L4APL094</t>
  </si>
  <si>
    <t>El perfil corresponde a un camarero, asistiendo en la atención a clientes, servicio de alimentos y bebidas, preparación y limpieza del área de trabajo y colaboración con el equipo de sala y cocina.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</si>
  <si>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L4APL095</t>
  </si>
  <si>
    <t>El perfil corresponde a un ayudante de cocina, realizando tareas básicas de preparación de alimentos, limpieza y organización de la cocina y apoyo general al equipo culinario.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</si>
  <si>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L4ATR096</t>
  </si>
  <si>
    <t>HOTEL</t>
  </si>
  <si>
    <t>El perfil corresponde a un asistente en el área de hotelería, participando en tareas básicas en distintas secciones del hotel, como atención al cliente, mantenimiento de espacios, asistencia en cocina y apoyo general en restauración y recepción.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</si>
  <si>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L4ATR097</t>
  </si>
  <si>
    <t>El perfil corresponde a un asistente en centro de belleza, realizando tareas de recepción y atención a clientes, asistencia básica en el salón, organización de áreas comunes y preparación de herramientas y materiales, así como apoyo en tratamientos sencillos bajo supervisión.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</si>
  <si>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L4ATR098</t>
  </si>
  <si>
    <t>DEPARTAMENTO DE VENTAS</t>
  </si>
  <si>
    <t>El perfil corresponde a un asistente en el área de marketing y ventas en una tienda, realizando tareas básicas de apoyo en organización de productos, promoción y atención a clientes.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</si>
  <si>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L4ATR099</t>
  </si>
  <si>
    <t>El perfil corresponde a un asistente en taller de mecánica, realizando tareas básicas de revisión de vehículos, mantenimiento sencillo y organización del taller bajo supervisión.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</si>
  <si>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L4ATR100</t>
  </si>
  <si>
    <t>AGENCIA DE VIAJES</t>
  </si>
  <si>
    <t>El perfil corresponde a un asistente en agencia de viajes, realizando tareas básicas de atención a clientes, apoyo en reservas y organización administrativa de tours y servicios turísticos.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</si>
  <si>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L4APL101</t>
  </si>
  <si>
    <t>El perfil corresponde a un asistente administrativo que puede trabajar en la oficina de Erasmus Krakow o en otras empresas del sector, realizando tareas básicas de gestión de documentación, organización de archivos, atención a comunicaciones y apoyo general en actividades de oficina. No obstante, se podrá considerar también a candidatos cuyo perfil no coincida exactamente, pudiendo ajustarse las funciones del puesto según las capacidades y experiencia del candidato. Las tareas asignadas se ajustarán al nivel de inglés del estudiante. Los vuelos se organizarán desde Valencia o Alicante, según disponibilidad y logística del viaje, y las fechas de ida y vuelta podrán ajustarse según la planificación final.</t>
  </si>
  <si>
    <t>L4APL102</t>
  </si>
  <si>
    <t>El perfil corresponde a un asistente que puede trabajar en la oficina de Erasmus Krakow realizando tareas administrativas, o en empresas del área de marketing apoyando en campañas, redes sociales y elaboración de contenidos. No obstante, se podrá considerar también a candidatos cuyo perfil no coincida exactamente, pudiendo ajustarse las funciones del puesto según las capacidades y experiencia del candidato. Las tareas asignadas se ajustarán al nivel de inglés del estudiante. Los vuelos se organizarán desde Valencia o Alicante, según disponibilidad y logística del viaje, y las fechas de ida y vuelta podrán ajustarse según la planificación final.</t>
  </si>
  <si>
    <t>L4APL103</t>
  </si>
  <si>
    <t>ESTABLECIMIENTOS HOSTELEROS</t>
  </si>
  <si>
    <t>El perfil corresponde a un asistente que puede trabajar en hostales, hoteles o restaurantes, realizando tareas básicas de atención al cliente, recepción, servicio de alimentos o apoyo general según el nivel de inglés del estudiante. No obstante, se podrá considerar también a candidatos cuyo perfil no coincida exactamente, pudiendo ajustarse las funciones del puesto según las capacidades y experiencia del candidato. Las tareas asignadas se ajustarán al nivel de inglés del estudiante. Los vuelos se organizarán desde Valencia o Alicante, según disponibilidad y logística del viaje, y las fechas de ida y vuelta podrán ajustarse según la planificación final.</t>
  </si>
  <si>
    <t>L4APL104</t>
  </si>
  <si>
    <t>El perfil corresponde a un asistente que puede trabajar en oficinas de turismo, realizando tareas básicas de atención a visitantes, información sobre rutas y actividades, gestión de reservas y apoyo en tareas administrativas relacionadas con la promoción turística. No obstante, se podrá considerar también a candidatos cuyo perfil no coincida exactamente, pudiendo ajustarse las funciones del puesto según las capacidades y experiencia del candidato. Las tareas asignadas se ajustarán al nivel de inglés del estudiante. Los vuelos se organizarán desde Valencia o Alicante, según disponibilidad y logística del viaje, y las fechas de ida y vuelta podrán ajustarse según la planificación final.</t>
  </si>
  <si>
    <t>L4APL105</t>
  </si>
  <si>
    <t>L4APL106</t>
  </si>
  <si>
    <t>L4APL107</t>
  </si>
  <si>
    <t>L4APL108</t>
  </si>
  <si>
    <t>L4APL109</t>
  </si>
  <si>
    <t>CENTRO DE BELLEZA Y ESTÉTICA</t>
  </si>
  <si>
    <t>El perfil corresponde a un asistente en peluquerías u oficinas de cosmetología, realizando tareas de apoyo en atención a clientes, organización y asistencia en el centro. No obstante, se podrá considerar también a candidatos cuyo perfil no coincida exactamente, pudiendo ajustarse las funciones del puesto según las capacidades y experiencia del candidato. Las tareas asignadas se ajustarán al nivel de inglés del estudiante. Los vuelos se organizarán desde Valencia o Alicante, según disponibilidad y logística del viaje, y las fechas de ida y vuelta podrán ajustarse según la planificación final.</t>
  </si>
  <si>
    <t>L4APL110</t>
  </si>
  <si>
    <t>DEPARTAMENTO DE IT</t>
  </si>
  <si>
    <t>El perfil corresponde a un asistente en departamentos de informática, realizando tareas básicas de mantenimiento de equipos, soporte técnico y asistencia en proyectos tecnológicos bajo supervisión. No obstante, se podrá considerar también a candidatos cuyo perfil no coincida exactamente, pudiendo ajustarse las funciones del puesto según las capacidades y experiencia del candidato. Las tareas asignadas se ajustarán al nivel de inglés del estudiante. Los vuelos se organizarán desde Valencia o Alicante, según disponibilidad y logística del viaje, y las fechas de ida y vuelta podrán ajustarse según la planificación final.</t>
  </si>
  <si>
    <t>L4APL111</t>
  </si>
  <si>
    <t>El perfil corresponde a un asistente en talleres de automóviles, realizando tareas de apoyo en mantenimiento, asistencia técnica y organización del taller bajo supervisión. No obstante, se podrá considerar también a candidatos cuyo perfil no coincida exactamente, pudiendo ajustarse las funciones del puesto según las capacidades y experiencia del candidato. Las tareas asignadas se ajustarán al nivel de inglés del estudiante. Los vuelos se organizarán desde Valencia o Alicante, según disponibilidad y logística del viaje, y las fechas de ida y vuelta podrán ajustarse según la planificación final.</t>
  </si>
  <si>
    <t>L4APL112</t>
  </si>
  <si>
    <t>L4APL113</t>
  </si>
  <si>
    <t>L4APL114</t>
  </si>
  <si>
    <t>SECTOR SOCIAL</t>
  </si>
  <si>
    <t>L5AIT001</t>
  </si>
  <si>
    <t>INSTALACIONES DEPORTIVAS</t>
  </si>
  <si>
    <t>El perfil corresponde a un asistente en actividades deportivas, apoyando en la organización de sesiones, preparación de materiales, atención a los usuarios y supervisión básica de seguridad en las instalaciones.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</si>
  <si>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L5AIT002</t>
  </si>
  <si>
    <t>CENTROS SANITARIOS</t>
  </si>
  <si>
    <t>El perfil corresponde a un asistente de cuidados o auxiliar sanitario básico, apoyando en la atención a los usuarios, higiene, movilización y preparación de materiales bajo supervisión.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</si>
  <si>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L5AIT003</t>
  </si>
  <si>
    <t>CENTROS SOCIOSANITARIOS Y DE INCLUSIÓN</t>
  </si>
  <si>
    <t>El perfil corresponde a un asistente en atención a personas con diversidad funcional, apoyando en la autonomía personal, acompañamiento en actividades y talleres, y colaboración con profesionales especializados para garantizar un cuidado integral.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</si>
  <si>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L5AIT004</t>
  </si>
  <si>
    <t>El perfil corresponde a un asistente de fisioterapia, realizando tareas de apoyo en la preparación del espacio y material, acompañamiento de pacientes, asistencia en ejercicios y registro de progresos bajo supervisión.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</si>
  <si>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L5AIT005</t>
  </si>
  <si>
    <t>CENTROS SOCIOCULTURALES</t>
  </si>
  <si>
    <t>El perfil corresponde a un asistente en animación sociocultural, apoyando en talleres, dinamización de grupos y organización de actividades culturales para fomentar la participación.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</si>
  <si>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L5AIT006</t>
  </si>
  <si>
    <t>CENTROS EDUCATIVOS Y COMUNITARIOS</t>
  </si>
  <si>
    <t>El perfil corresponde a un asistente en educación no formal y talleres comunitarios, apoyando en el desarrollo de talleres, actividades intergeneracionales y seguimiento básico de participantes con supervisión pedagógica.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</si>
  <si>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L5AIT007</t>
  </si>
  <si>
    <t>ORGANIZACIONES AMBIENTALES Y SOSTENIBLES</t>
  </si>
  <si>
    <t>El perfil corresponde a un asistente en proyectos ambientales, apoyando en recolección de datos, educación ecológica y actividades de conservación para contribuir a la protección del entorno.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</si>
  <si>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L5AIT008</t>
  </si>
  <si>
    <t>L5AIT009</t>
  </si>
  <si>
    <t>L5AIT010</t>
  </si>
  <si>
    <t>L5AIT011</t>
  </si>
  <si>
    <t>L5AIT012</t>
  </si>
  <si>
    <t>L5AIT013</t>
  </si>
  <si>
    <t>L5AIT014</t>
  </si>
  <si>
    <t>L5AMT015</t>
  </si>
  <si>
    <t>CENTROS DEPORTIVOS Y GIMNASIOS</t>
  </si>
  <si>
    <t>El perfil corresponde a un asistente en gimnasio, apoyando en la guía de clientes, supervisión de ejercicios, demostración de técnicas, creación de rutinas básicas y mantenimiento del espacio seguro y ordenado.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</si>
  <si>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L5AMT016</t>
  </si>
  <si>
    <t>CENTROS DE ATENCIÓN A PERSONAS MAYORES</t>
  </si>
  <si>
    <t>El perfil corresponde a un asistente en cuidado de personas mayores, apoyando en rutinas diarias, acompañamiento, asistencia en movilidad y actividades recreativas, y colaboración en la organización y mantenimiento del espacio.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</si>
  <si>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L5AMT017</t>
  </si>
  <si>
    <t>CENTROS SOCIALES Y DE SERVICIOS COMUNITARIOS</t>
  </si>
  <si>
    <t>El perfil corresponde a un asistente en trabajo social, apoyando a personas y grupos vulnerables en la evaluación de necesidades, conexión con recursos y seguimiento básico de su bienestar.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</si>
  <si>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L5AMT018</t>
  </si>
  <si>
    <t>El perfil corresponde a un asistente en gestión ambiental, apoyando en el seguimiento de normativas, control de impactos, implementación de medidas sostenibles y colaboración con equipos para promover la sostenibilidad.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</si>
  <si>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L5AMT019</t>
  </si>
  <si>
    <t>L5AMT020</t>
  </si>
  <si>
    <t>L5AMT021</t>
  </si>
  <si>
    <t>L5AMT022</t>
  </si>
  <si>
    <t>L5AMT023</t>
  </si>
  <si>
    <t>L5AMT024</t>
  </si>
  <si>
    <t>L5AMT025</t>
  </si>
  <si>
    <t>L5AMT026</t>
  </si>
  <si>
    <t>L5APT027</t>
  </si>
  <si>
    <t>El perfil corresponde a un asistente de gimnasio, apoyando en la preparación de salas, organización de materiales, asistencia básica a usuarios y mantenimiento del espacio de entrenamiento.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</si>
  <si>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L5APT028</t>
  </si>
  <si>
    <t>El perfil corresponde a un asistente en animación sociocultural en centro de mayores, apoyando en la organización de actividades, acompañamiento de participantes, preparación de materiales y mantenimiento de un ambiente seguro y agradable.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</si>
  <si>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L5APT029</t>
  </si>
  <si>
    <t>CENTROS SOCIOCULTURALES Y EDUCATIVOS</t>
  </si>
  <si>
    <t>El perfil corresponde a un asistente en animación sociocultural con grupos de niños, apoyando en la organización de actividades, acompañamiento de los participantes, preparación de materiales y mantenimiento de un entorno seguro y agradable.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</si>
  <si>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L5APL030</t>
  </si>
  <si>
    <t>GIMNASIO</t>
  </si>
  <si>
    <t>El perfil corresponde a un asistente en gimnasio, apoyando en la atención a usuarios, organización de material, asistencia en sesiones supervisadas y mantenimiento de las instalaciones.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</si>
  <si>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L5APL031</t>
  </si>
  <si>
    <t>CENTRO DE DÍA</t>
  </si>
  <si>
    <t>El perfil corresponde a un asistente en jardín de infancia o asociación de niños con enfoque sanitario, apoyando en el cuidado diario, supervisión de seguridad, higiene y actividades de estimulación de los menores.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</si>
  <si>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L5APL032</t>
  </si>
  <si>
    <t>El perfil corresponde a un asistente en jardín de infancia o asociación de niños con enfoque sociocultural, apoyando en actividades lúdicas, educativas y de socialización, supervisión de los menores y organización de espacios para el desarrollo de talleres y dinámicas grupales.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</si>
  <si>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L5APL033</t>
  </si>
  <si>
    <t>L5APL034</t>
  </si>
  <si>
    <t>L5APL035</t>
  </si>
  <si>
    <t>L5APL036</t>
  </si>
  <si>
    <t>L5APL037</t>
  </si>
  <si>
    <t>L5APL038</t>
  </si>
  <si>
    <t>L5ATR039</t>
  </si>
  <si>
    <t>El perfil corresponde a un asistente en gimnasio, apoyando en el mantenimiento de instalaciones, limpieza y desinfección de equipos, así como en la asistencia a entrenadores durante actividades y clases.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</si>
  <si>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L5ATR040</t>
  </si>
  <si>
    <t>ONG MEDIOAMBIENTAL</t>
  </si>
  <si>
    <t>El perfil corresponde a un asistente en proyectos medioambientales, apoyando en investigación de campo, recopilación de datos y actividades de conservación bajo supervisión.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</si>
  <si>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L5ATR041</t>
  </si>
  <si>
    <t>El perfil corresponde a un asistente en centro de formación y proyectos, apoyando en talleres, actividades grupales y tareas administrativas de programas socioculturales bajo supervisión. No obstante, se podrá considerar también a candidatos cuyo perfil no coincida exactamente, pudiendo ajustarse las funciones del puesto según las capacidades y experiencia del candidato. Los vuelos se organizarán desde Valencia o Alicante, según disponibilidad y logística del viaje, y las fechas de ida y vuelta podrán ajustarse según la planificación final.</t>
  </si>
  <si>
    <t>L5APL042</t>
  </si>
  <si>
    <t>CENTRO DE ASISTENCIA SOCIAL</t>
  </si>
  <si>
    <t>El perfil corresponde a un asistente en residencias de bienestar social, apoyando en la atención y cuidado de los residentes, acompañamiento en actividades diarias y asistencia en tareas básicas bajo supervisión. No obstante, se podrá considerar también a candidatos cuyo perfil no coincida exactamente, pudiendo ajustarse las funciones del puesto según las capacidades y experiencia del candidato. Las tareas asignadas se ajustarán al nivel de inglés del estudiante. Los vuelos se organizarán desde Valencia o Alicante, según disponibilidad y logística del viaje, y las fechas de ida y vuelta podrán ajustarse según la planificación final.</t>
  </si>
  <si>
    <t>L5APL043</t>
  </si>
  <si>
    <t>CENTRO DE ATENCIÓN SOCIOEDUCATIVA</t>
  </si>
  <si>
    <t>El perfil corresponde a un asistente en fundaciones para personas con diversidad funcional, apoyando en la atención diaria, acompañamiento en actividades y desarrollo de habilidades bajo supervisión. No obstante, se podrá considerar también a candidatos cuyo perfil no coincida exactamente, pudiendo ajustarse las funciones del puesto según las capacidades y experiencia del candidato. Las tareas asignadas se ajustarán al nivel de inglés del estudiante. Los vuelos se organizarán desde Valencia o Alicante, según disponibilidad y logística del viaje, y las fechas de ida y vuelta podrán ajustarse según la planificación final.</t>
  </si>
  <si>
    <t>L5APL044</t>
  </si>
  <si>
    <t>L5APL045</t>
  </si>
  <si>
    <t>L5APL046</t>
  </si>
  <si>
    <t>SERVICIOS MEDIOAMBIENTALES</t>
  </si>
  <si>
    <t>El perfil corresponde a un asistente en gestión de áreas verdes y parques, apoyando en mantenimiento de jardines, cuidado de plantas y organización de espacios, así como en actividades de conservación bajo supervisión. No obstante, se podrá considerar también a candidatos cuyo perfil no coincida exactamente, pudiendo ajustarse las funciones del puesto según las capacidades y experiencia del candidato. Las tareas asignadas se ajustarán al nivel de inglés del estudiante. Los vuelos se organizarán desde Valencia o Alicante, según disponibilidad y logística del viaje, y las fechas de ida y vuelta podrán ajustarse según la planificación final.</t>
  </si>
  <si>
    <t>L5APL047</t>
  </si>
  <si>
    <t>L5APL048</t>
  </si>
  <si>
    <t>País</t>
  </si>
  <si>
    <t>Cód_3_digitos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</si>
</sst>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9"/>
      <color theme="1"/>
      <name val="Arial"/>
      <family val="2"/>
    </font>
    <font>
      <b/>
      <sz val="9"/>
      <color theme="1"/>
      <name val="Arial"/>
      <family val="2"/>
    </font>
    <font>
      <i/>
      <sz val="9"/>
      <color theme="1"/>
      <name val="Arial"/>
      <family val="2"/>
    </font>
    <font>
      <b/>
      <i/>
      <sz val="9"/>
      <color rgb="FF002060"/>
      <name val="Arial"/>
      <family val="2"/>
    </font>
    <font>
      <sz val="11"/>
      <color theme="0"/>
      <name val="Calibri"/>
      <family val="2"/>
      <scheme val="minor"/>
    </font>
  </fonts>
  <fills count="4">
    <fill>
      <patternFill patternType="none"/>
    </fill>
    <fill>
      <patternFill patternType="gray125"/>
    </fill>
    <fill>
      <patternFill patternType="solid">
        <fgColor theme="2"/>
        <bgColor indexed="64"/>
      </patternFill>
    </fill>
    <fill>
      <patternFill patternType="solid">
        <fgColor theme="6" tint="0.79998168889431442"/>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5">
    <xf numFmtId="0" fontId="0" fillId="0" borderId="0" xfId="0"/>
    <xf numFmtId="0" fontId="0" fillId="0" borderId="0" xfId="0" applyAlignment="1">
      <alignment wrapText="1"/>
    </xf>
    <xf numFmtId="0" fontId="5" fillId="0" borderId="0" xfId="0" applyFont="1"/>
    <xf numFmtId="0" fontId="0" fillId="2" borderId="0" xfId="0" applyFill="1" applyAlignment="1">
      <alignment vertical="top"/>
    </xf>
    <xf numFmtId="49" fontId="0" fillId="0" borderId="0" xfId="0" applyNumberFormat="1" applyAlignment="1" applyProtection="1">
      <alignment vertical="top"/>
      <protection locked="0"/>
    </xf>
    <xf numFmtId="1" fontId="0" fillId="0" borderId="0" xfId="0" applyNumberFormat="1" applyAlignment="1" applyProtection="1">
      <alignment horizontal="center" vertical="top"/>
      <protection locked="0"/>
    </xf>
    <xf numFmtId="14" fontId="0" fillId="0" borderId="0" xfId="0" applyNumberFormat="1" applyAlignment="1" applyProtection="1">
      <alignment horizontal="center" vertical="top"/>
      <protection locked="0"/>
    </xf>
    <xf numFmtId="1" fontId="0" fillId="3" borderId="0" xfId="0" applyNumberFormat="1" applyFill="1" applyAlignment="1">
      <alignment horizontal="center" vertical="top"/>
    </xf>
    <xf numFmtId="0" fontId="0" fillId="0" borderId="0" xfId="0" applyAlignment="1" applyProtection="1">
      <alignment vertical="top"/>
      <protection locked="0"/>
    </xf>
    <xf numFmtId="49" fontId="0" fillId="0" borderId="5" xfId="0" applyNumberFormat="1" applyBorder="1" applyAlignment="1" applyProtection="1">
      <alignment vertical="top" wrapText="1"/>
      <protection locked="0"/>
    </xf>
    <xf numFmtId="0" fontId="0" fillId="0" borderId="0" xfId="0" applyAlignment="1" applyProtection="1">
      <alignment vertical="top" wrapText="1"/>
      <protection locked="0"/>
    </xf>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3" fillId="0" borderId="4" xfId="0" applyFont="1" applyBorder="1" applyAlignment="1">
      <alignment horizontal="center" vertical="center"/>
    </xf>
  </cellXfs>
  <cellStyles count="1">
    <cellStyle name="Normal" xfId="0" builtinId="0"/>
  </cellStyles>
  <dxfs count="15">
    <dxf>
      <numFmt numFmtId="30" formatCode="@"/>
      <alignment horizontal="general" vertical="top" textRotation="0" wrapText="1" indent="0" justifyLastLine="0" shrinkToFit="0" readingOrder="0"/>
      <border diagonalUp="0" diagonalDown="0">
        <left/>
        <right style="thin">
          <color indexed="64"/>
        </right>
        <top/>
        <bottom/>
        <vertical/>
        <horizontal/>
      </border>
      <protection locked="0" hidden="0"/>
    </dxf>
    <dxf>
      <alignment horizontal="general" vertical="top" textRotation="0" wrapText="0" indent="0" justifyLastLine="0" shrinkToFit="0" readingOrder="0"/>
      <protection locked="0" hidden="0"/>
    </dxf>
    <dxf>
      <alignment horizontal="general" vertical="top" textRotation="0" wrapText="1" indent="0" justifyLastLine="0" shrinkToFit="0" readingOrder="0"/>
      <protection locked="0" hidden="0"/>
    </dxf>
    <dxf>
      <numFmt numFmtId="1" formatCode="0"/>
      <fill>
        <patternFill patternType="solid">
          <fgColor indexed="64"/>
          <bgColor theme="6" tint="0.79998168889431442"/>
        </patternFill>
      </fill>
      <alignment horizontal="center" vertical="top" textRotation="0" wrapText="0" indent="0" justifyLastLine="0" shrinkToFit="0" readingOrder="0"/>
    </dxf>
    <dxf>
      <numFmt numFmtId="1" formatCode="0"/>
      <fill>
        <patternFill patternType="solid">
          <fgColor indexed="64"/>
          <bgColor theme="6" tint="0.79998168889431442"/>
        </patternFill>
      </fill>
      <alignment horizontal="center" vertical="top" textRotation="0" wrapText="0" indent="0" justifyLastLine="0" shrinkToFit="0" readingOrder="0"/>
    </dxf>
    <dxf>
      <numFmt numFmtId="19" formatCode="dd/mm/yyyy"/>
      <alignment horizontal="center" vertical="top" textRotation="0" wrapText="0" indent="0" justifyLastLine="0" shrinkToFit="0" readingOrder="0"/>
      <protection locked="0" hidden="0"/>
    </dxf>
    <dxf>
      <numFmt numFmtId="19" formatCode="dd/mm/yyyy"/>
      <alignment horizontal="center" vertical="top" textRotation="0" wrapText="0" indent="0" justifyLastLine="0" shrinkToFit="0" readingOrder="0"/>
      <protection locked="0" hidden="0"/>
    </dxf>
    <dxf>
      <numFmt numFmtId="1" formatCode="0"/>
      <alignment horizontal="center" vertical="top" textRotation="0" wrapText="0" indent="0" justifyLastLine="0" shrinkToFit="0" readingOrder="0"/>
      <protection locked="0" hidden="0"/>
    </dxf>
    <dxf>
      <numFmt numFmtId="30" formatCode="@"/>
      <alignment horizontal="general" vertical="top" textRotation="0" wrapText="0" indent="0" justifyLastLine="0" shrinkToFit="0" readingOrder="0"/>
      <protection locked="0" hidden="0"/>
    </dxf>
    <dxf>
      <fill>
        <patternFill patternType="solid">
          <fgColor indexed="64"/>
          <bgColor theme="2"/>
        </patternFill>
      </fill>
      <alignment horizontal="general" vertical="top" textRotation="0" wrapText="0" indent="0" justifyLastLine="0" shrinkToFit="0" readingOrder="0"/>
    </dxf>
    <dxf>
      <numFmt numFmtId="30" formatCode="@"/>
      <alignment horizontal="general" vertical="top" textRotation="0" wrapText="0" indent="0" justifyLastLine="0" shrinkToFit="0" readingOrder="0"/>
      <protection locked="0" hidden="0"/>
    </dxf>
    <dxf>
      <fill>
        <patternFill patternType="solid">
          <fgColor indexed="64"/>
          <bgColor theme="2"/>
        </patternFill>
      </fill>
      <alignment horizontal="general" vertical="top" textRotation="0" wrapText="0" indent="0" justifyLastLine="0" shrinkToFit="0" readingOrder="0"/>
    </dxf>
    <dxf>
      <numFmt numFmtId="0" formatCode="General"/>
      <fill>
        <patternFill patternType="solid">
          <fgColor indexed="64"/>
          <bgColor theme="2"/>
        </patternFill>
      </fill>
      <alignment horizontal="general" vertical="top" textRotation="0" wrapText="0" indent="0" justifyLastLine="0" shrinkToFit="0" readingOrder="0"/>
    </dxf>
    <dxf>
      <fill>
        <patternFill patternType="solid">
          <fgColor indexed="64"/>
          <bgColor theme="2"/>
        </patternFill>
      </fill>
      <alignment horizontal="general" vertical="top" textRotation="0" wrapText="0" indent="0" justifyLastLine="0" shrinkToFit="0" readingOrder="0"/>
    </dxf>
    <dxf>
      <fill>
        <patternFill patternType="solid">
          <fgColor indexed="64"/>
          <bgColor theme="2"/>
        </patternFill>
      </fill>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1447866</xdr:colOff>
      <xdr:row>0</xdr:row>
      <xdr:rowOff>1573377</xdr:rowOff>
    </xdr:to>
    <xdr:pic>
      <xdr:nvPicPr>
        <xdr:cNvPr id="3" name="Imagen 2">
          <a:extLst>
            <a:ext uri="{FF2B5EF4-FFF2-40B4-BE49-F238E27FC236}">
              <a16:creationId xmlns:a16="http://schemas.microsoft.com/office/drawing/2014/main" id="{20AD1147-AAF7-4E9D-8689-9298ACC22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8767511" cy="15702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gvaes.sharepoint.com/sites/EuroTrainee-Justificacin25-26_TEAMS-Coordinacin/Documentos%20compartidos/Coordinaci&#243;n/02-Ofertas/2026%2001%2026/Plantilla_OfertaET_2025_L1.xlsx" TargetMode="External"/><Relationship Id="rId1" Type="http://schemas.openxmlformats.org/officeDocument/2006/relationships/externalLinkPath" Target="Plantilla_OfertaET_2025_L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gvaes.sharepoint.com/sites/EuroTrainee-Justificacin25-26_TEAMS-Coordinacin/Documentos%20compartidos/Coordinaci&#243;n/02-Ofertas/2026%2001%2026/Plantilla_OfertaET_2025_L2.xlsx" TargetMode="External"/><Relationship Id="rId1" Type="http://schemas.openxmlformats.org/officeDocument/2006/relationships/externalLinkPath" Target="Plantilla_OfertaET_2025_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vilidades"/>
      <sheetName val="Resumen"/>
      <sheetName val="Países"/>
      <sheetName val="AmbitoProfesional"/>
      <sheetName val="TipoMovilidad"/>
      <sheetName val="Entrevista"/>
      <sheetName val="Datos"/>
      <sheetName val="Plantilla_OfertaET_2025_L1"/>
    </sheetNames>
    <sheetDataSet>
      <sheetData sheetId="0" refreshError="1"/>
      <sheetData sheetId="1" refreshError="1"/>
      <sheetData sheetId="2"/>
      <sheetData sheetId="3"/>
      <sheetData sheetId="4" refreshError="1"/>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vilidades"/>
      <sheetName val="Resumen"/>
      <sheetName val="Países"/>
      <sheetName val="AmbitoProfesional"/>
      <sheetName val="TipoMovilidad"/>
      <sheetName val="Entrevista"/>
      <sheetName val="Datos"/>
      <sheetName val="Plantilla_OfertaET_2025_L2"/>
    </sheetNames>
    <sheetDataSet>
      <sheetData sheetId="0"/>
      <sheetData sheetId="1"/>
      <sheetData sheetId="2"/>
      <sheetData sheetId="3"/>
      <sheetData sheetId="4"/>
      <sheetData sheetId="5"/>
      <sheetData sheetId="6"/>
      <sheetData sheetId="7"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177896-73A0-4661-8088-A26C646C2CCA}" name="Tabla1" displayName="Tabla1" ref="A5:O327" totalsRowShown="0">
  <autoFilter ref="A5:O327" xr:uid="{1D177896-73A0-4661-8088-A26C646C2CCA}"/>
  <tableColumns count="15">
    <tableColumn id="2" xr3:uid="{93D9F2F2-5D34-4118-9FA5-6F07DD59941A}" name="Ámbito Profesional" dataDxfId="14"/>
    <tableColumn id="3" xr3:uid="{3666795C-E46B-4F03-89F0-95AE700A89A9}" name="CodMovilidad" dataDxfId="13"/>
    <tableColumn id="1" xr3:uid="{078FD29D-6D9E-44FE-8B48-A7448A181E20}" name="Cód_3_digitos" dataDxfId="12">
      <calculatedColumnFormula>MID(Tabla1[[#This Row],[CodMovilidad]],6,3)</calculatedColumnFormula>
    </tableColumn>
    <tableColumn id="4" xr3:uid="{E9F10898-861D-4DF7-AF44-3453F8232E15}" name="Destinatario" dataDxfId="11"/>
    <tableColumn id="15" xr3:uid="{BA3EBFED-FDEF-49EC-A6DA-C6C04AFB92F4}" name="País" dataDxfId="10"/>
    <tableColumn id="6" xr3:uid="{CC4ED5AD-6DD8-4489-85CB-1AC7E7B1FFED}" name="Grupo País" dataDxfId="9"/>
    <tableColumn id="7" xr3:uid="{0E860FEA-F05E-4590-BC3D-F863D9C82704}" name="Ciudad" dataDxfId="8"/>
    <tableColumn id="8" xr3:uid="{D1DE0148-C043-420E-BD4B-183BA8403720}" name="Plazas" dataDxfId="7"/>
    <tableColumn id="9" xr3:uid="{33CC1F93-8AF7-4AAD-9011-EC368F5486AB}" name="Fecha Inicio" dataDxfId="6"/>
    <tableColumn id="10" xr3:uid="{0B9D19D8-CB12-4CF7-A988-4A8CAF4F8E76}" name="Fecha Fin" dataDxfId="5"/>
    <tableColumn id="11" xr3:uid="{44A4CAB5-3A43-480E-8939-5F6070F93A66}" name="Nº Semanas" dataDxfId="4"/>
    <tableColumn id="16" xr3:uid="{3F50B24C-FB92-48CF-9B18-43C8D587AEE2}" name="Nº Días" dataDxfId="3"/>
    <tableColumn id="13" xr3:uid="{DEB8672E-4797-498E-A5DF-C7590DAF0639}" name="Entidad Destino" dataDxfId="2"/>
    <tableColumn id="14" xr3:uid="{2B30E533-0F9E-455B-988A-932A62F3D934}" name="Entrevista" dataDxfId="1"/>
    <tableColumn id="17" xr3:uid="{AFED09B0-312F-4476-BAE5-73C7667E3203}" name="Descripción"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1CFA6-3E32-44C6-99B6-7965620720D0}">
  <dimension ref="A1:O327"/>
  <sheetViews>
    <sheetView tabSelected="1" topLeftCell="A2" zoomScaleNormal="100" workbookViewId="0">
      <selection activeCell="C6" sqref="C6"/>
    </sheetView>
  </sheetViews>
  <sheetFormatPr baseColWidth="10" defaultColWidth="11.44140625" defaultRowHeight="14.4" x14ac:dyDescent="0.3"/>
  <cols>
    <col min="1" max="1" width="35.5546875" bestFit="1" customWidth="1"/>
    <col min="2" max="2" width="15" bestFit="1" customWidth="1"/>
    <col min="3" max="3" width="15.109375" bestFit="1" customWidth="1"/>
    <col min="4" max="4" width="13.33203125" bestFit="1" customWidth="1"/>
    <col min="5" max="5" width="12.6640625" bestFit="1" customWidth="1"/>
    <col min="6" max="6" width="12.21875" bestFit="1" customWidth="1"/>
    <col min="7" max="7" width="26.77734375" bestFit="1" customWidth="1"/>
    <col min="8" max="8" width="8.33203125" bestFit="1" customWidth="1"/>
    <col min="9" max="9" width="13.109375" bestFit="1" customWidth="1"/>
    <col min="10" max="10" width="11" bestFit="1" customWidth="1"/>
    <col min="11" max="11" width="13.44140625" bestFit="1" customWidth="1"/>
    <col min="12" max="12" width="9.33203125" bestFit="1" customWidth="1"/>
    <col min="13" max="13" width="27" style="1" customWidth="1"/>
    <col min="14" max="14" width="11.5546875" style="1" bestFit="1" customWidth="1"/>
    <col min="15" max="15" width="70.21875" customWidth="1"/>
  </cols>
  <sheetData>
    <row r="1" spans="1:15" ht="144.6" customHeight="1" x14ac:dyDescent="0.3"/>
    <row r="2" spans="1:15" ht="26.55" customHeight="1" x14ac:dyDescent="0.3">
      <c r="A2" s="11" t="s">
        <v>13</v>
      </c>
      <c r="B2" s="12"/>
      <c r="C2" s="12"/>
      <c r="D2" s="12"/>
      <c r="E2" s="12"/>
      <c r="F2" s="12"/>
      <c r="G2" s="12"/>
      <c r="H2" s="12"/>
      <c r="I2" s="12"/>
      <c r="J2" s="13"/>
    </row>
    <row r="3" spans="1:15" x14ac:dyDescent="0.3">
      <c r="A3" s="14" t="s">
        <v>14</v>
      </c>
      <c r="B3" s="14"/>
      <c r="C3" s="14"/>
      <c r="D3" s="14"/>
      <c r="E3" s="14"/>
      <c r="F3" s="14"/>
      <c r="G3" s="14"/>
      <c r="H3" s="14"/>
      <c r="I3" s="14"/>
      <c r="J3" s="14"/>
    </row>
    <row r="5" spans="1:15" x14ac:dyDescent="0.3">
      <c r="A5" t="s">
        <v>12</v>
      </c>
      <c r="B5" t="s">
        <v>4</v>
      </c>
      <c r="C5" t="s">
        <v>650</v>
      </c>
      <c r="D5" t="s">
        <v>0</v>
      </c>
      <c r="E5" s="2" t="s">
        <v>649</v>
      </c>
      <c r="F5" t="s">
        <v>11</v>
      </c>
      <c r="G5" t="s">
        <v>1</v>
      </c>
      <c r="H5" t="s">
        <v>2</v>
      </c>
      <c r="I5" t="s">
        <v>6</v>
      </c>
      <c r="J5" t="s">
        <v>7</v>
      </c>
      <c r="K5" t="s">
        <v>8</v>
      </c>
      <c r="L5" s="2" t="s">
        <v>9</v>
      </c>
      <c r="M5" s="1" t="s">
        <v>10</v>
      </c>
      <c r="N5" s="1" t="s">
        <v>3</v>
      </c>
      <c r="O5" t="s">
        <v>5</v>
      </c>
    </row>
    <row r="6" spans="1:15" ht="100.8" x14ac:dyDescent="0.3">
      <c r="A6" s="3" t="s">
        <v>49</v>
      </c>
      <c r="B6" s="3" t="s">
        <v>50</v>
      </c>
      <c r="C6" s="3" t="str">
        <f>MID(Tabla1[[#This Row],[CodMovilidad]],6,3)</f>
        <v>001</v>
      </c>
      <c r="D6" s="3" t="s">
        <v>51</v>
      </c>
      <c r="E6" s="4" t="s">
        <v>15</v>
      </c>
      <c r="F6" s="3">
        <v>1</v>
      </c>
      <c r="G6" s="4" t="s">
        <v>16</v>
      </c>
      <c r="H6" s="5">
        <v>1</v>
      </c>
      <c r="I6" s="6">
        <v>46105</v>
      </c>
      <c r="J6" s="6">
        <v>46147</v>
      </c>
      <c r="K6" s="7">
        <v>6</v>
      </c>
      <c r="L6" s="7">
        <v>43</v>
      </c>
      <c r="M6" s="9" t="s">
        <v>17</v>
      </c>
      <c r="N6" s="8" t="s">
        <v>18</v>
      </c>
      <c r="O6" s="9" t="s">
        <v>19</v>
      </c>
    </row>
    <row r="7" spans="1:15" ht="115.2" x14ac:dyDescent="0.3">
      <c r="A7" s="3" t="s">
        <v>49</v>
      </c>
      <c r="B7" s="3" t="s">
        <v>53</v>
      </c>
      <c r="C7" s="3" t="str">
        <f>MID(Tabla1[[#This Row],[CodMovilidad]],6,3)</f>
        <v>002</v>
      </c>
      <c r="D7" s="3" t="s">
        <v>51</v>
      </c>
      <c r="E7" s="4" t="s">
        <v>15</v>
      </c>
      <c r="F7" s="3">
        <v>1</v>
      </c>
      <c r="G7" s="4" t="s">
        <v>16</v>
      </c>
      <c r="H7" s="5">
        <v>1</v>
      </c>
      <c r="I7" s="6">
        <v>46105</v>
      </c>
      <c r="J7" s="6">
        <v>46147</v>
      </c>
      <c r="K7" s="7">
        <v>6</v>
      </c>
      <c r="L7" s="7">
        <v>43</v>
      </c>
      <c r="M7" s="10" t="s">
        <v>17</v>
      </c>
      <c r="N7" s="8" t="s">
        <v>18</v>
      </c>
      <c r="O7" s="9" t="s">
        <v>20</v>
      </c>
    </row>
    <row r="8" spans="1:15" ht="115.2" x14ac:dyDescent="0.3">
      <c r="A8" s="3" t="s">
        <v>49</v>
      </c>
      <c r="B8" s="3" t="s">
        <v>54</v>
      </c>
      <c r="C8" s="3" t="str">
        <f>MID(Tabla1[[#This Row],[CodMovilidad]],6,3)</f>
        <v>003</v>
      </c>
      <c r="D8" s="3" t="s">
        <v>51</v>
      </c>
      <c r="E8" s="4" t="s">
        <v>15</v>
      </c>
      <c r="F8" s="3">
        <v>1</v>
      </c>
      <c r="G8" s="4" t="s">
        <v>16</v>
      </c>
      <c r="H8" s="5">
        <v>1</v>
      </c>
      <c r="I8" s="6">
        <v>46105</v>
      </c>
      <c r="J8" s="6">
        <v>46147</v>
      </c>
      <c r="K8" s="7">
        <v>6</v>
      </c>
      <c r="L8" s="7">
        <v>43</v>
      </c>
      <c r="M8" s="10" t="s">
        <v>21</v>
      </c>
      <c r="N8" s="8" t="s">
        <v>18</v>
      </c>
      <c r="O8" s="9" t="s">
        <v>22</v>
      </c>
    </row>
    <row r="9" spans="1:15" ht="100.8" x14ac:dyDescent="0.3">
      <c r="A9" s="3" t="s">
        <v>49</v>
      </c>
      <c r="B9" s="3" t="s">
        <v>55</v>
      </c>
      <c r="C9" s="3" t="str">
        <f>MID(Tabla1[[#This Row],[CodMovilidad]],6,3)</f>
        <v>004</v>
      </c>
      <c r="D9" s="3" t="s">
        <v>51</v>
      </c>
      <c r="E9" s="4" t="s">
        <v>15</v>
      </c>
      <c r="F9" s="3">
        <v>1</v>
      </c>
      <c r="G9" s="4" t="s">
        <v>16</v>
      </c>
      <c r="H9" s="5">
        <v>3</v>
      </c>
      <c r="I9" s="6">
        <v>46105</v>
      </c>
      <c r="J9" s="6">
        <v>46147</v>
      </c>
      <c r="K9" s="7">
        <v>6</v>
      </c>
      <c r="L9" s="7">
        <v>43</v>
      </c>
      <c r="M9" s="10" t="s">
        <v>23</v>
      </c>
      <c r="N9" s="8" t="s">
        <v>18</v>
      </c>
      <c r="O9" s="9" t="s">
        <v>24</v>
      </c>
    </row>
    <row r="10" spans="1:15" ht="100.8" x14ac:dyDescent="0.3">
      <c r="A10" s="3" t="s">
        <v>49</v>
      </c>
      <c r="B10" s="3" t="s">
        <v>56</v>
      </c>
      <c r="C10" s="3" t="str">
        <f>MID(Tabla1[[#This Row],[CodMovilidad]],6,3)</f>
        <v>005</v>
      </c>
      <c r="D10" s="3" t="s">
        <v>51</v>
      </c>
      <c r="E10" s="4" t="s">
        <v>15</v>
      </c>
      <c r="F10" s="3">
        <v>1</v>
      </c>
      <c r="G10" s="4" t="s">
        <v>16</v>
      </c>
      <c r="H10" s="5">
        <v>2</v>
      </c>
      <c r="I10" s="6">
        <v>46161</v>
      </c>
      <c r="J10" s="6">
        <v>46203</v>
      </c>
      <c r="K10" s="7">
        <v>6</v>
      </c>
      <c r="L10" s="7">
        <v>43</v>
      </c>
      <c r="M10" s="10" t="s">
        <v>25</v>
      </c>
      <c r="N10" s="8" t="s">
        <v>18</v>
      </c>
      <c r="O10" s="9" t="s">
        <v>26</v>
      </c>
    </row>
    <row r="11" spans="1:15" ht="115.2" x14ac:dyDescent="0.3">
      <c r="A11" s="3" t="s">
        <v>49</v>
      </c>
      <c r="B11" s="3" t="s">
        <v>57</v>
      </c>
      <c r="C11" s="3" t="str">
        <f>MID(Tabla1[[#This Row],[CodMovilidad]],6,3)</f>
        <v>006</v>
      </c>
      <c r="D11" s="3" t="s">
        <v>51</v>
      </c>
      <c r="E11" s="4" t="s">
        <v>15</v>
      </c>
      <c r="F11" s="3">
        <v>1</v>
      </c>
      <c r="G11" s="4" t="s">
        <v>16</v>
      </c>
      <c r="H11" s="5">
        <v>1</v>
      </c>
      <c r="I11" s="6">
        <v>46161</v>
      </c>
      <c r="J11" s="6">
        <v>46203</v>
      </c>
      <c r="K11" s="7">
        <v>6</v>
      </c>
      <c r="L11" s="7">
        <v>43</v>
      </c>
      <c r="M11" s="10" t="s">
        <v>27</v>
      </c>
      <c r="N11" s="8" t="s">
        <v>18</v>
      </c>
      <c r="O11" s="9" t="s">
        <v>28</v>
      </c>
    </row>
    <row r="12" spans="1:15" ht="115.2" x14ac:dyDescent="0.3">
      <c r="A12" s="3" t="s">
        <v>49</v>
      </c>
      <c r="B12" s="3" t="s">
        <v>58</v>
      </c>
      <c r="C12" s="3" t="str">
        <f>MID(Tabla1[[#This Row],[CodMovilidad]],6,3)</f>
        <v>007</v>
      </c>
      <c r="D12" s="3" t="s">
        <v>51</v>
      </c>
      <c r="E12" s="4" t="s">
        <v>15</v>
      </c>
      <c r="F12" s="3">
        <v>1</v>
      </c>
      <c r="G12" s="4" t="s">
        <v>16</v>
      </c>
      <c r="H12" s="5">
        <v>1</v>
      </c>
      <c r="I12" s="6">
        <v>46161</v>
      </c>
      <c r="J12" s="6">
        <v>46203</v>
      </c>
      <c r="K12" s="7">
        <v>6</v>
      </c>
      <c r="L12" s="7">
        <v>43</v>
      </c>
      <c r="M12" s="10" t="s">
        <v>17</v>
      </c>
      <c r="N12" s="8" t="s">
        <v>18</v>
      </c>
      <c r="O12" s="9" t="s">
        <v>20</v>
      </c>
    </row>
    <row r="13" spans="1:15" ht="100.8" x14ac:dyDescent="0.3">
      <c r="A13" s="3" t="s">
        <v>49</v>
      </c>
      <c r="B13" s="3" t="s">
        <v>59</v>
      </c>
      <c r="C13" s="3" t="str">
        <f>MID(Tabla1[[#This Row],[CodMovilidad]],6,3)</f>
        <v>008</v>
      </c>
      <c r="D13" s="3" t="s">
        <v>51</v>
      </c>
      <c r="E13" s="4" t="s">
        <v>15</v>
      </c>
      <c r="F13" s="3">
        <v>1</v>
      </c>
      <c r="G13" s="4" t="s">
        <v>16</v>
      </c>
      <c r="H13" s="5">
        <v>3</v>
      </c>
      <c r="I13" s="6">
        <v>46161</v>
      </c>
      <c r="J13" s="6">
        <v>46203</v>
      </c>
      <c r="K13" s="7">
        <v>6</v>
      </c>
      <c r="L13" s="7">
        <v>43</v>
      </c>
      <c r="M13" s="10" t="s">
        <v>23</v>
      </c>
      <c r="N13" s="8" t="s">
        <v>18</v>
      </c>
      <c r="O13" s="9" t="s">
        <v>24</v>
      </c>
    </row>
    <row r="14" spans="1:15" ht="100.8" x14ac:dyDescent="0.3">
      <c r="A14" s="3" t="s">
        <v>49</v>
      </c>
      <c r="B14" s="3" t="s">
        <v>60</v>
      </c>
      <c r="C14" s="3" t="str">
        <f>MID(Tabla1[[#This Row],[CodMovilidad]],6,3)</f>
        <v>009</v>
      </c>
      <c r="D14" s="3" t="s">
        <v>51</v>
      </c>
      <c r="E14" s="4" t="s">
        <v>29</v>
      </c>
      <c r="F14" s="3">
        <v>2</v>
      </c>
      <c r="G14" s="4" t="s">
        <v>30</v>
      </c>
      <c r="H14" s="5">
        <v>2</v>
      </c>
      <c r="I14" s="6">
        <v>46113</v>
      </c>
      <c r="J14" s="6">
        <v>46155</v>
      </c>
      <c r="K14" s="7">
        <v>6</v>
      </c>
      <c r="L14" s="7">
        <v>43</v>
      </c>
      <c r="M14" s="10" t="s">
        <v>17</v>
      </c>
      <c r="N14" s="8" t="s">
        <v>18</v>
      </c>
      <c r="O14" s="9" t="s">
        <v>31</v>
      </c>
    </row>
    <row r="15" spans="1:15" ht="115.2" x14ac:dyDescent="0.3">
      <c r="A15" s="3" t="s">
        <v>49</v>
      </c>
      <c r="B15" s="3" t="s">
        <v>61</v>
      </c>
      <c r="C15" s="3" t="str">
        <f>MID(Tabla1[[#This Row],[CodMovilidad]],6,3)</f>
        <v>010</v>
      </c>
      <c r="D15" s="3" t="s">
        <v>51</v>
      </c>
      <c r="E15" s="4" t="s">
        <v>29</v>
      </c>
      <c r="F15" s="3">
        <v>2</v>
      </c>
      <c r="G15" s="4" t="s">
        <v>30</v>
      </c>
      <c r="H15" s="5">
        <v>1</v>
      </c>
      <c r="I15" s="6">
        <v>46113</v>
      </c>
      <c r="J15" s="6">
        <v>46155</v>
      </c>
      <c r="K15" s="7">
        <v>6</v>
      </c>
      <c r="L15" s="7">
        <v>43</v>
      </c>
      <c r="M15" s="10" t="s">
        <v>23</v>
      </c>
      <c r="N15" s="8" t="s">
        <v>18</v>
      </c>
      <c r="O15" s="9" t="s">
        <v>32</v>
      </c>
    </row>
    <row r="16" spans="1:15" ht="100.8" x14ac:dyDescent="0.3">
      <c r="A16" s="3" t="s">
        <v>49</v>
      </c>
      <c r="B16" s="3" t="s">
        <v>62</v>
      </c>
      <c r="C16" s="3" t="str">
        <f>MID(Tabla1[[#This Row],[CodMovilidad]],6,3)</f>
        <v>011</v>
      </c>
      <c r="D16" s="3" t="s">
        <v>51</v>
      </c>
      <c r="E16" s="4" t="s">
        <v>29</v>
      </c>
      <c r="F16" s="3">
        <v>2</v>
      </c>
      <c r="G16" s="4" t="s">
        <v>30</v>
      </c>
      <c r="H16" s="5">
        <v>1</v>
      </c>
      <c r="I16" s="6">
        <v>46121</v>
      </c>
      <c r="J16" s="6">
        <v>46163</v>
      </c>
      <c r="K16" s="7">
        <v>6</v>
      </c>
      <c r="L16" s="7">
        <v>43</v>
      </c>
      <c r="M16" s="10" t="s">
        <v>17</v>
      </c>
      <c r="N16" s="8" t="s">
        <v>18</v>
      </c>
      <c r="O16" s="9" t="s">
        <v>31</v>
      </c>
    </row>
    <row r="17" spans="1:15" ht="100.8" x14ac:dyDescent="0.3">
      <c r="A17" s="3" t="s">
        <v>49</v>
      </c>
      <c r="B17" s="3" t="s">
        <v>63</v>
      </c>
      <c r="C17" s="3" t="str">
        <f>MID(Tabla1[[#This Row],[CodMovilidad]],6,3)</f>
        <v>012</v>
      </c>
      <c r="D17" s="3" t="s">
        <v>51</v>
      </c>
      <c r="E17" s="4" t="s">
        <v>29</v>
      </c>
      <c r="F17" s="3">
        <v>2</v>
      </c>
      <c r="G17" s="4" t="s">
        <v>30</v>
      </c>
      <c r="H17" s="5">
        <v>1</v>
      </c>
      <c r="I17" s="6">
        <v>46128</v>
      </c>
      <c r="J17" s="6">
        <v>46170</v>
      </c>
      <c r="K17" s="7">
        <v>6</v>
      </c>
      <c r="L17" s="7">
        <v>43</v>
      </c>
      <c r="M17" s="10" t="s">
        <v>17</v>
      </c>
      <c r="N17" s="8" t="s">
        <v>18</v>
      </c>
      <c r="O17" s="9" t="s">
        <v>31</v>
      </c>
    </row>
    <row r="18" spans="1:15" ht="115.2" x14ac:dyDescent="0.3">
      <c r="A18" s="3" t="s">
        <v>49</v>
      </c>
      <c r="B18" s="3" t="s">
        <v>64</v>
      </c>
      <c r="C18" s="3" t="str">
        <f>MID(Tabla1[[#This Row],[CodMovilidad]],6,3)</f>
        <v>013</v>
      </c>
      <c r="D18" s="3" t="s">
        <v>51</v>
      </c>
      <c r="E18" s="4" t="s">
        <v>29</v>
      </c>
      <c r="F18" s="3">
        <v>2</v>
      </c>
      <c r="G18" s="4" t="s">
        <v>30</v>
      </c>
      <c r="H18" s="5">
        <v>1</v>
      </c>
      <c r="I18" s="6">
        <v>46128</v>
      </c>
      <c r="J18" s="6">
        <v>46170</v>
      </c>
      <c r="K18" s="7">
        <v>6</v>
      </c>
      <c r="L18" s="7">
        <v>43</v>
      </c>
      <c r="M18" s="10" t="s">
        <v>23</v>
      </c>
      <c r="N18" s="8" t="s">
        <v>18</v>
      </c>
      <c r="O18" s="9" t="s">
        <v>32</v>
      </c>
    </row>
    <row r="19" spans="1:15" ht="129.6" x14ac:dyDescent="0.3">
      <c r="A19" s="3" t="s">
        <v>49</v>
      </c>
      <c r="B19" s="3" t="s">
        <v>65</v>
      </c>
      <c r="C19" s="3" t="str">
        <f>MID(Tabla1[[#This Row],[CodMovilidad]],6,3)</f>
        <v>014</v>
      </c>
      <c r="D19" s="3" t="s">
        <v>51</v>
      </c>
      <c r="E19" s="4" t="s">
        <v>33</v>
      </c>
      <c r="F19" s="3">
        <v>2</v>
      </c>
      <c r="G19" s="4" t="s">
        <v>34</v>
      </c>
      <c r="H19" s="5">
        <v>3</v>
      </c>
      <c r="I19" s="6">
        <v>46096</v>
      </c>
      <c r="J19" s="6">
        <v>46138</v>
      </c>
      <c r="K19" s="7">
        <v>6</v>
      </c>
      <c r="L19" s="7">
        <v>43</v>
      </c>
      <c r="M19" s="10" t="s">
        <v>25</v>
      </c>
      <c r="N19" s="8" t="s">
        <v>18</v>
      </c>
      <c r="O19" s="9" t="s">
        <v>35</v>
      </c>
    </row>
    <row r="20" spans="1:15" ht="100.8" x14ac:dyDescent="0.3">
      <c r="A20" s="3" t="s">
        <v>49</v>
      </c>
      <c r="B20" s="3" t="s">
        <v>66</v>
      </c>
      <c r="C20" s="3" t="str">
        <f>MID(Tabla1[[#This Row],[CodMovilidad]],6,3)</f>
        <v>015</v>
      </c>
      <c r="D20" s="3" t="s">
        <v>51</v>
      </c>
      <c r="E20" s="4" t="s">
        <v>33</v>
      </c>
      <c r="F20" s="3">
        <v>2</v>
      </c>
      <c r="G20" s="4" t="s">
        <v>34</v>
      </c>
      <c r="H20" s="5">
        <v>3</v>
      </c>
      <c r="I20" s="6">
        <v>46096</v>
      </c>
      <c r="J20" s="6">
        <v>46138</v>
      </c>
      <c r="K20" s="7">
        <v>6</v>
      </c>
      <c r="L20" s="7">
        <v>43</v>
      </c>
      <c r="M20" s="10" t="s">
        <v>36</v>
      </c>
      <c r="N20" s="8" t="s">
        <v>18</v>
      </c>
      <c r="O20" s="9" t="s">
        <v>37</v>
      </c>
    </row>
    <row r="21" spans="1:15" ht="100.8" x14ac:dyDescent="0.3">
      <c r="A21" s="3" t="s">
        <v>49</v>
      </c>
      <c r="B21" s="3" t="s">
        <v>67</v>
      </c>
      <c r="C21" s="3" t="str">
        <f>MID(Tabla1[[#This Row],[CodMovilidad]],6,3)</f>
        <v>016</v>
      </c>
      <c r="D21" s="3" t="s">
        <v>51</v>
      </c>
      <c r="E21" s="4" t="s">
        <v>38</v>
      </c>
      <c r="F21" s="3">
        <v>3</v>
      </c>
      <c r="G21" s="4" t="s">
        <v>39</v>
      </c>
      <c r="H21" s="5">
        <v>3</v>
      </c>
      <c r="I21" s="6">
        <v>46139</v>
      </c>
      <c r="J21" s="6">
        <v>46167</v>
      </c>
      <c r="K21" s="7">
        <v>4</v>
      </c>
      <c r="L21" s="7">
        <v>29</v>
      </c>
      <c r="M21" s="10" t="s">
        <v>40</v>
      </c>
      <c r="N21" s="8" t="s">
        <v>18</v>
      </c>
      <c r="O21" s="9" t="s">
        <v>41</v>
      </c>
    </row>
    <row r="22" spans="1:15" ht="100.8" x14ac:dyDescent="0.3">
      <c r="A22" s="3" t="s">
        <v>49</v>
      </c>
      <c r="B22" s="3" t="s">
        <v>68</v>
      </c>
      <c r="C22" s="3" t="str">
        <f>MID(Tabla1[[#This Row],[CodMovilidad]],6,3)</f>
        <v>017</v>
      </c>
      <c r="D22" s="3" t="s">
        <v>51</v>
      </c>
      <c r="E22" s="4" t="s">
        <v>38</v>
      </c>
      <c r="F22" s="3">
        <v>3</v>
      </c>
      <c r="G22" s="4" t="s">
        <v>39</v>
      </c>
      <c r="H22" s="5">
        <v>3</v>
      </c>
      <c r="I22" s="6">
        <v>46174</v>
      </c>
      <c r="J22" s="6">
        <v>46202</v>
      </c>
      <c r="K22" s="7">
        <v>4</v>
      </c>
      <c r="L22" s="7">
        <v>29</v>
      </c>
      <c r="M22" s="10" t="s">
        <v>40</v>
      </c>
      <c r="N22" s="8" t="s">
        <v>18</v>
      </c>
      <c r="O22" s="9" t="s">
        <v>41</v>
      </c>
    </row>
    <row r="23" spans="1:15" ht="100.8" x14ac:dyDescent="0.3">
      <c r="A23" s="3" t="s">
        <v>49</v>
      </c>
      <c r="B23" s="3" t="s">
        <v>69</v>
      </c>
      <c r="C23" s="3" t="str">
        <f>MID(Tabla1[[#This Row],[CodMovilidad]],6,3)</f>
        <v>018</v>
      </c>
      <c r="D23" s="3" t="s">
        <v>51</v>
      </c>
      <c r="E23" s="4" t="s">
        <v>42</v>
      </c>
      <c r="F23" s="3">
        <v>3</v>
      </c>
      <c r="G23" s="4" t="s">
        <v>43</v>
      </c>
      <c r="H23" s="5">
        <v>1</v>
      </c>
      <c r="I23" s="6">
        <v>46100</v>
      </c>
      <c r="J23" s="6">
        <v>46142</v>
      </c>
      <c r="K23" s="7">
        <v>6</v>
      </c>
      <c r="L23" s="7">
        <v>43</v>
      </c>
      <c r="M23" s="10" t="s">
        <v>44</v>
      </c>
      <c r="N23" s="8" t="s">
        <v>18</v>
      </c>
      <c r="O23" s="9" t="s">
        <v>45</v>
      </c>
    </row>
    <row r="24" spans="1:15" ht="115.2" x14ac:dyDescent="0.3">
      <c r="A24" s="3" t="s">
        <v>49</v>
      </c>
      <c r="B24" s="3" t="s">
        <v>70</v>
      </c>
      <c r="C24" s="3" t="str">
        <f>MID(Tabla1[[#This Row],[CodMovilidad]],6,3)</f>
        <v>019</v>
      </c>
      <c r="D24" s="3" t="s">
        <v>51</v>
      </c>
      <c r="E24" s="4" t="s">
        <v>38</v>
      </c>
      <c r="F24" s="3">
        <v>3</v>
      </c>
      <c r="G24" s="4" t="s">
        <v>46</v>
      </c>
      <c r="H24" s="5">
        <v>2</v>
      </c>
      <c r="I24" s="6">
        <v>46097</v>
      </c>
      <c r="J24" s="6">
        <v>46125</v>
      </c>
      <c r="K24" s="7">
        <v>4</v>
      </c>
      <c r="L24" s="7">
        <v>29</v>
      </c>
      <c r="M24" s="10" t="s">
        <v>47</v>
      </c>
      <c r="N24" s="8" t="s">
        <v>18</v>
      </c>
      <c r="O24" s="9" t="s">
        <v>48</v>
      </c>
    </row>
    <row r="25" spans="1:15" ht="115.2" x14ac:dyDescent="0.3">
      <c r="A25" s="3" t="s">
        <v>49</v>
      </c>
      <c r="B25" s="3" t="s">
        <v>71</v>
      </c>
      <c r="C25" s="3" t="str">
        <f>MID(Tabla1[[#This Row],[CodMovilidad]],6,3)</f>
        <v>020</v>
      </c>
      <c r="D25" s="3" t="s">
        <v>51</v>
      </c>
      <c r="E25" s="4" t="s">
        <v>38</v>
      </c>
      <c r="F25" s="3">
        <v>3</v>
      </c>
      <c r="G25" s="4" t="s">
        <v>46</v>
      </c>
      <c r="H25" s="5">
        <v>2</v>
      </c>
      <c r="I25" s="6">
        <v>46128</v>
      </c>
      <c r="J25" s="6">
        <v>46156</v>
      </c>
      <c r="K25" s="7">
        <v>4</v>
      </c>
      <c r="L25" s="7">
        <v>29</v>
      </c>
      <c r="M25" s="10" t="s">
        <v>47</v>
      </c>
      <c r="N25" s="8" t="s">
        <v>18</v>
      </c>
      <c r="O25" s="9" t="s">
        <v>48</v>
      </c>
    </row>
    <row r="26" spans="1:15" ht="115.2" x14ac:dyDescent="0.3">
      <c r="A26" s="3" t="s">
        <v>49</v>
      </c>
      <c r="B26" s="3" t="s">
        <v>72</v>
      </c>
      <c r="C26" s="3" t="str">
        <f>MID(Tabla1[[#This Row],[CodMovilidad]],6,3)</f>
        <v>021</v>
      </c>
      <c r="D26" s="3" t="s">
        <v>51</v>
      </c>
      <c r="E26" s="4" t="s">
        <v>38</v>
      </c>
      <c r="F26" s="3">
        <v>3</v>
      </c>
      <c r="G26" s="4" t="s">
        <v>46</v>
      </c>
      <c r="H26" s="5">
        <v>2</v>
      </c>
      <c r="I26" s="6">
        <v>46160</v>
      </c>
      <c r="J26" s="6">
        <v>46188</v>
      </c>
      <c r="K26" s="7">
        <v>4</v>
      </c>
      <c r="L26" s="7">
        <v>29</v>
      </c>
      <c r="M26" s="10" t="s">
        <v>47</v>
      </c>
      <c r="N26" s="8" t="s">
        <v>18</v>
      </c>
      <c r="O26" s="9" t="s">
        <v>48</v>
      </c>
    </row>
    <row r="27" spans="1:15" ht="100.8" x14ac:dyDescent="0.3">
      <c r="A27" s="3" t="s">
        <v>73</v>
      </c>
      <c r="B27" s="3" t="s">
        <v>74</v>
      </c>
      <c r="C27" s="3" t="str">
        <f>MID(Tabla1[[#This Row],[CodMovilidad]],6,3)</f>
        <v>001</v>
      </c>
      <c r="D27" s="3" t="s">
        <v>51</v>
      </c>
      <c r="E27" s="4" t="s">
        <v>15</v>
      </c>
      <c r="F27" s="3">
        <v>1</v>
      </c>
      <c r="G27" s="4" t="s">
        <v>16</v>
      </c>
      <c r="H27" s="5">
        <v>2</v>
      </c>
      <c r="I27" s="6">
        <v>46105</v>
      </c>
      <c r="J27" s="6">
        <v>46147</v>
      </c>
      <c r="K27" s="7">
        <v>6</v>
      </c>
      <c r="L27" s="7">
        <v>43</v>
      </c>
      <c r="M27" s="10" t="s">
        <v>75</v>
      </c>
      <c r="N27" s="8" t="s">
        <v>18</v>
      </c>
      <c r="O27" s="9" t="s">
        <v>76</v>
      </c>
    </row>
    <row r="28" spans="1:15" ht="100.8" x14ac:dyDescent="0.3">
      <c r="A28" s="3" t="s">
        <v>73</v>
      </c>
      <c r="B28" s="3" t="s">
        <v>77</v>
      </c>
      <c r="C28" s="3" t="str">
        <f>MID(Tabla1[[#This Row],[CodMovilidad]],6,3)</f>
        <v>002</v>
      </c>
      <c r="D28" s="3" t="s">
        <v>51</v>
      </c>
      <c r="E28" s="4" t="s">
        <v>15</v>
      </c>
      <c r="F28" s="3">
        <v>1</v>
      </c>
      <c r="G28" s="4" t="s">
        <v>16</v>
      </c>
      <c r="H28" s="5">
        <v>1</v>
      </c>
      <c r="I28" s="6">
        <v>46161</v>
      </c>
      <c r="J28" s="6">
        <v>46203</v>
      </c>
      <c r="K28" s="7">
        <v>6</v>
      </c>
      <c r="L28" s="7">
        <v>43</v>
      </c>
      <c r="M28" s="10" t="s">
        <v>78</v>
      </c>
      <c r="N28" s="8" t="s">
        <v>18</v>
      </c>
      <c r="O28" s="9" t="s">
        <v>79</v>
      </c>
    </row>
    <row r="29" spans="1:15" ht="28.8" x14ac:dyDescent="0.3">
      <c r="A29" s="3" t="s">
        <v>73</v>
      </c>
      <c r="B29" s="3" t="s">
        <v>80</v>
      </c>
      <c r="C29" s="3" t="str">
        <f>MID(Tabla1[[#This Row],[CodMovilidad]],6,3)</f>
        <v>003</v>
      </c>
      <c r="D29" s="3" t="s">
        <v>51</v>
      </c>
      <c r="E29" s="4" t="s">
        <v>15</v>
      </c>
      <c r="F29" s="3">
        <v>1</v>
      </c>
      <c r="G29" s="4" t="s">
        <v>16</v>
      </c>
      <c r="H29" s="5">
        <v>2</v>
      </c>
      <c r="I29" s="6">
        <v>46161</v>
      </c>
      <c r="J29" s="6">
        <v>46203</v>
      </c>
      <c r="K29" s="7">
        <v>6</v>
      </c>
      <c r="L29" s="7">
        <v>43</v>
      </c>
      <c r="M29" s="10" t="s">
        <v>81</v>
      </c>
      <c r="N29" s="8" t="s">
        <v>18</v>
      </c>
      <c r="O29" s="9"/>
    </row>
    <row r="30" spans="1:15" ht="100.8" x14ac:dyDescent="0.3">
      <c r="A30" s="3" t="s">
        <v>73</v>
      </c>
      <c r="B30" s="3" t="s">
        <v>82</v>
      </c>
      <c r="C30" s="3" t="str">
        <f>MID(Tabla1[[#This Row],[CodMovilidad]],6,3)</f>
        <v>004</v>
      </c>
      <c r="D30" s="3" t="s">
        <v>51</v>
      </c>
      <c r="E30" s="4" t="s">
        <v>29</v>
      </c>
      <c r="F30" s="3">
        <v>2</v>
      </c>
      <c r="G30" s="4" t="s">
        <v>30</v>
      </c>
      <c r="H30" s="5">
        <v>1</v>
      </c>
      <c r="I30" s="6">
        <v>46113</v>
      </c>
      <c r="J30" s="6">
        <v>46155</v>
      </c>
      <c r="K30" s="7">
        <v>6</v>
      </c>
      <c r="L30" s="7">
        <v>43</v>
      </c>
      <c r="M30" s="10" t="s">
        <v>83</v>
      </c>
      <c r="N30" s="8" t="s">
        <v>18</v>
      </c>
      <c r="O30" s="9" t="s">
        <v>84</v>
      </c>
    </row>
    <row r="31" spans="1:15" ht="100.8" x14ac:dyDescent="0.3">
      <c r="A31" s="3" t="s">
        <v>73</v>
      </c>
      <c r="B31" s="3" t="s">
        <v>85</v>
      </c>
      <c r="C31" s="3" t="str">
        <f>MID(Tabla1[[#This Row],[CodMovilidad]],6,3)</f>
        <v>005</v>
      </c>
      <c r="D31" s="3" t="s">
        <v>51</v>
      </c>
      <c r="E31" s="4" t="s">
        <v>29</v>
      </c>
      <c r="F31" s="3">
        <v>2</v>
      </c>
      <c r="G31" s="4" t="s">
        <v>30</v>
      </c>
      <c r="H31" s="5">
        <v>1</v>
      </c>
      <c r="I31" s="6">
        <v>46121</v>
      </c>
      <c r="J31" s="6">
        <v>46163</v>
      </c>
      <c r="K31" s="7">
        <v>6</v>
      </c>
      <c r="L31" s="7">
        <v>43</v>
      </c>
      <c r="M31" s="10" t="s">
        <v>83</v>
      </c>
      <c r="N31" s="8" t="s">
        <v>18</v>
      </c>
      <c r="O31" s="9" t="s">
        <v>84</v>
      </c>
    </row>
    <row r="32" spans="1:15" ht="100.8" x14ac:dyDescent="0.3">
      <c r="A32" s="3" t="s">
        <v>73</v>
      </c>
      <c r="B32" s="3" t="s">
        <v>86</v>
      </c>
      <c r="C32" s="3" t="str">
        <f>MID(Tabla1[[#This Row],[CodMovilidad]],6,3)</f>
        <v>006</v>
      </c>
      <c r="D32" s="3" t="s">
        <v>51</v>
      </c>
      <c r="E32" s="4" t="s">
        <v>33</v>
      </c>
      <c r="F32" s="3">
        <v>2</v>
      </c>
      <c r="G32" s="4" t="s">
        <v>87</v>
      </c>
      <c r="H32" s="5">
        <v>2</v>
      </c>
      <c r="I32" s="6">
        <v>46111</v>
      </c>
      <c r="J32" s="6">
        <v>46153</v>
      </c>
      <c r="K32" s="7">
        <v>6</v>
      </c>
      <c r="L32" s="7">
        <v>43</v>
      </c>
      <c r="M32" s="10" t="s">
        <v>78</v>
      </c>
      <c r="N32" s="8" t="s">
        <v>18</v>
      </c>
      <c r="O32" s="9" t="s">
        <v>88</v>
      </c>
    </row>
    <row r="33" spans="1:15" ht="100.8" x14ac:dyDescent="0.3">
      <c r="A33" s="3" t="s">
        <v>73</v>
      </c>
      <c r="B33" s="3" t="s">
        <v>89</v>
      </c>
      <c r="C33" s="3" t="str">
        <f>MID(Tabla1[[#This Row],[CodMovilidad]],6,3)</f>
        <v>007</v>
      </c>
      <c r="D33" s="3" t="s">
        <v>51</v>
      </c>
      <c r="E33" s="4" t="s">
        <v>38</v>
      </c>
      <c r="F33" s="3">
        <v>3</v>
      </c>
      <c r="G33" s="4" t="s">
        <v>39</v>
      </c>
      <c r="H33" s="5">
        <v>2</v>
      </c>
      <c r="I33" s="6">
        <v>46139</v>
      </c>
      <c r="J33" s="6">
        <v>46167</v>
      </c>
      <c r="K33" s="7">
        <v>4</v>
      </c>
      <c r="L33" s="7">
        <v>29</v>
      </c>
      <c r="M33" s="10" t="s">
        <v>90</v>
      </c>
      <c r="N33" s="8" t="s">
        <v>18</v>
      </c>
      <c r="O33" s="9" t="s">
        <v>91</v>
      </c>
    </row>
    <row r="34" spans="1:15" ht="100.8" x14ac:dyDescent="0.3">
      <c r="A34" s="3" t="s">
        <v>73</v>
      </c>
      <c r="B34" s="3" t="s">
        <v>92</v>
      </c>
      <c r="C34" s="3" t="str">
        <f>MID(Tabla1[[#This Row],[CodMovilidad]],6,3)</f>
        <v>008</v>
      </c>
      <c r="D34" s="3" t="s">
        <v>51</v>
      </c>
      <c r="E34" s="4" t="s">
        <v>38</v>
      </c>
      <c r="F34" s="3">
        <v>3</v>
      </c>
      <c r="G34" s="4" t="s">
        <v>46</v>
      </c>
      <c r="H34" s="5">
        <v>1</v>
      </c>
      <c r="I34" s="6">
        <v>46097</v>
      </c>
      <c r="J34" s="6">
        <v>46125</v>
      </c>
      <c r="K34" s="7">
        <v>4</v>
      </c>
      <c r="L34" s="7">
        <v>29</v>
      </c>
      <c r="M34" s="10" t="s">
        <v>78</v>
      </c>
      <c r="N34" s="8" t="s">
        <v>18</v>
      </c>
      <c r="O34" s="9" t="s">
        <v>93</v>
      </c>
    </row>
    <row r="35" spans="1:15" ht="100.8" x14ac:dyDescent="0.3">
      <c r="A35" s="3" t="s">
        <v>73</v>
      </c>
      <c r="B35" s="3" t="s">
        <v>94</v>
      </c>
      <c r="C35" s="3" t="str">
        <f>MID(Tabla1[[#This Row],[CodMovilidad]],6,3)</f>
        <v>009</v>
      </c>
      <c r="D35" s="3" t="s">
        <v>51</v>
      </c>
      <c r="E35" s="4" t="s">
        <v>38</v>
      </c>
      <c r="F35" s="3">
        <v>3</v>
      </c>
      <c r="G35" s="4" t="s">
        <v>46</v>
      </c>
      <c r="H35" s="5">
        <v>1</v>
      </c>
      <c r="I35" s="6">
        <v>46128</v>
      </c>
      <c r="J35" s="6">
        <v>46156</v>
      </c>
      <c r="K35" s="7">
        <v>4</v>
      </c>
      <c r="L35" s="7">
        <v>29</v>
      </c>
      <c r="M35" s="10" t="s">
        <v>78</v>
      </c>
      <c r="N35" s="8" t="s">
        <v>18</v>
      </c>
      <c r="O35" s="9" t="s">
        <v>93</v>
      </c>
    </row>
    <row r="36" spans="1:15" ht="100.8" x14ac:dyDescent="0.3">
      <c r="A36" s="3" t="s">
        <v>73</v>
      </c>
      <c r="B36" s="3" t="s">
        <v>95</v>
      </c>
      <c r="C36" s="3" t="str">
        <f>MID(Tabla1[[#This Row],[CodMovilidad]],6,3)</f>
        <v>010</v>
      </c>
      <c r="D36" s="3" t="s">
        <v>51</v>
      </c>
      <c r="E36" s="4" t="s">
        <v>38</v>
      </c>
      <c r="F36" s="3">
        <v>3</v>
      </c>
      <c r="G36" s="4" t="s">
        <v>46</v>
      </c>
      <c r="H36" s="5">
        <v>1</v>
      </c>
      <c r="I36" s="6">
        <v>46160</v>
      </c>
      <c r="J36" s="6">
        <v>46188</v>
      </c>
      <c r="K36" s="7">
        <v>4</v>
      </c>
      <c r="L36" s="7">
        <v>29</v>
      </c>
      <c r="M36" s="10" t="s">
        <v>78</v>
      </c>
      <c r="N36" s="8" t="s">
        <v>18</v>
      </c>
      <c r="O36" s="9" t="s">
        <v>93</v>
      </c>
    </row>
    <row r="37" spans="1:15" ht="230.4" x14ac:dyDescent="0.3">
      <c r="A37" s="3" t="s">
        <v>96</v>
      </c>
      <c r="B37" s="3" t="s">
        <v>97</v>
      </c>
      <c r="C37" s="3" t="str">
        <f>MID(Tabla1[[#This Row],[CodMovilidad]],6,3)</f>
        <v>001</v>
      </c>
      <c r="D37" s="3" t="s">
        <v>51</v>
      </c>
      <c r="E37" s="4" t="s">
        <v>98</v>
      </c>
      <c r="F37" s="3">
        <v>1</v>
      </c>
      <c r="G37" s="4" t="s">
        <v>99</v>
      </c>
      <c r="H37" s="5">
        <v>1</v>
      </c>
      <c r="I37" s="6">
        <v>46082</v>
      </c>
      <c r="J37" s="6">
        <v>46123</v>
      </c>
      <c r="K37" s="7">
        <v>6</v>
      </c>
      <c r="L37" s="7">
        <v>42</v>
      </c>
      <c r="M37" s="10" t="s">
        <v>100</v>
      </c>
      <c r="N37" s="8" t="s">
        <v>52</v>
      </c>
      <c r="O37" s="9" t="s">
        <v>101</v>
      </c>
    </row>
    <row r="38" spans="1:15" ht="129.6" x14ac:dyDescent="0.3">
      <c r="A38" s="3" t="s">
        <v>96</v>
      </c>
      <c r="B38" s="3" t="s">
        <v>102</v>
      </c>
      <c r="C38" s="3" t="str">
        <f>MID(Tabla1[[#This Row],[CodMovilidad]],6,3)</f>
        <v>002</v>
      </c>
      <c r="D38" s="3" t="s">
        <v>51</v>
      </c>
      <c r="E38" s="4" t="s">
        <v>98</v>
      </c>
      <c r="F38" s="3">
        <v>1</v>
      </c>
      <c r="G38" s="4" t="s">
        <v>99</v>
      </c>
      <c r="H38" s="5">
        <v>1</v>
      </c>
      <c r="I38" s="6">
        <v>46103</v>
      </c>
      <c r="J38" s="6">
        <v>46144</v>
      </c>
      <c r="K38" s="7">
        <v>6</v>
      </c>
      <c r="L38" s="7">
        <v>42</v>
      </c>
      <c r="M38" s="10" t="s">
        <v>103</v>
      </c>
      <c r="N38" s="8" t="s">
        <v>52</v>
      </c>
      <c r="O38" s="9" t="s">
        <v>104</v>
      </c>
    </row>
    <row r="39" spans="1:15" ht="201.6" x14ac:dyDescent="0.3">
      <c r="A39" s="3" t="s">
        <v>96</v>
      </c>
      <c r="B39" s="3" t="s">
        <v>105</v>
      </c>
      <c r="C39" s="3" t="str">
        <f>MID(Tabla1[[#This Row],[CodMovilidad]],6,3)</f>
        <v>003</v>
      </c>
      <c r="D39" s="3" t="s">
        <v>51</v>
      </c>
      <c r="E39" s="4" t="s">
        <v>98</v>
      </c>
      <c r="F39" s="3">
        <v>1</v>
      </c>
      <c r="G39" s="4" t="s">
        <v>99</v>
      </c>
      <c r="H39" s="5">
        <v>1</v>
      </c>
      <c r="I39" s="6">
        <v>46082</v>
      </c>
      <c r="J39" s="6">
        <v>46123</v>
      </c>
      <c r="K39" s="7">
        <v>6</v>
      </c>
      <c r="L39" s="7">
        <v>42</v>
      </c>
      <c r="M39" s="10" t="s">
        <v>106</v>
      </c>
      <c r="N39" s="8" t="s">
        <v>52</v>
      </c>
      <c r="O39" s="9" t="s">
        <v>107</v>
      </c>
    </row>
    <row r="40" spans="1:15" ht="115.2" x14ac:dyDescent="0.3">
      <c r="A40" s="3" t="s">
        <v>96</v>
      </c>
      <c r="B40" s="3" t="s">
        <v>108</v>
      </c>
      <c r="C40" s="3" t="str">
        <f>MID(Tabla1[[#This Row],[CodMovilidad]],6,3)</f>
        <v>004</v>
      </c>
      <c r="D40" s="3" t="s">
        <v>51</v>
      </c>
      <c r="E40" s="4" t="s">
        <v>98</v>
      </c>
      <c r="F40" s="3">
        <v>1</v>
      </c>
      <c r="G40" s="4" t="s">
        <v>99</v>
      </c>
      <c r="H40" s="5">
        <v>1</v>
      </c>
      <c r="I40" s="6">
        <v>46082</v>
      </c>
      <c r="J40" s="6">
        <v>46109</v>
      </c>
      <c r="K40" s="7">
        <v>4</v>
      </c>
      <c r="L40" s="7">
        <v>28</v>
      </c>
      <c r="M40" s="10" t="s">
        <v>109</v>
      </c>
      <c r="N40" s="8" t="s">
        <v>52</v>
      </c>
      <c r="O40" s="9" t="s">
        <v>110</v>
      </c>
    </row>
    <row r="41" spans="1:15" ht="100.8" x14ac:dyDescent="0.3">
      <c r="A41" s="3" t="s">
        <v>96</v>
      </c>
      <c r="B41" s="3" t="s">
        <v>111</v>
      </c>
      <c r="C41" s="3" t="str">
        <f>MID(Tabla1[[#This Row],[CodMovilidad]],6,3)</f>
        <v>005</v>
      </c>
      <c r="D41" s="3" t="s">
        <v>51</v>
      </c>
      <c r="E41" s="4" t="s">
        <v>98</v>
      </c>
      <c r="F41" s="3">
        <v>1</v>
      </c>
      <c r="G41" s="4" t="s">
        <v>99</v>
      </c>
      <c r="H41" s="5">
        <v>1</v>
      </c>
      <c r="I41" s="6">
        <v>46082</v>
      </c>
      <c r="J41" s="6">
        <v>46123</v>
      </c>
      <c r="K41" s="7">
        <v>6</v>
      </c>
      <c r="L41" s="7">
        <v>42</v>
      </c>
      <c r="M41" s="10" t="s">
        <v>112</v>
      </c>
      <c r="N41" s="8" t="s">
        <v>52</v>
      </c>
      <c r="O41" s="9" t="s">
        <v>113</v>
      </c>
    </row>
    <row r="42" spans="1:15" ht="158.4" x14ac:dyDescent="0.3">
      <c r="A42" s="3" t="s">
        <v>96</v>
      </c>
      <c r="B42" s="3" t="s">
        <v>114</v>
      </c>
      <c r="C42" s="3" t="str">
        <f>MID(Tabla1[[#This Row],[CodMovilidad]],6,3)</f>
        <v>006</v>
      </c>
      <c r="D42" s="3" t="s">
        <v>51</v>
      </c>
      <c r="E42" s="4" t="s">
        <v>98</v>
      </c>
      <c r="F42" s="3">
        <v>1</v>
      </c>
      <c r="G42" s="4" t="s">
        <v>99</v>
      </c>
      <c r="H42" s="5">
        <v>1</v>
      </c>
      <c r="I42" s="6">
        <v>46082</v>
      </c>
      <c r="J42" s="6">
        <v>46109</v>
      </c>
      <c r="K42" s="7">
        <v>4</v>
      </c>
      <c r="L42" s="7">
        <v>28</v>
      </c>
      <c r="M42" s="10" t="s">
        <v>115</v>
      </c>
      <c r="N42" s="8" t="s">
        <v>116</v>
      </c>
      <c r="O42" s="9" t="s">
        <v>117</v>
      </c>
    </row>
    <row r="43" spans="1:15" ht="115.2" x14ac:dyDescent="0.3">
      <c r="A43" s="3" t="s">
        <v>96</v>
      </c>
      <c r="B43" s="3" t="s">
        <v>118</v>
      </c>
      <c r="C43" s="3" t="str">
        <f>MID(Tabla1[[#This Row],[CodMovilidad]],6,3)</f>
        <v>007</v>
      </c>
      <c r="D43" s="3" t="s">
        <v>51</v>
      </c>
      <c r="E43" s="4" t="s">
        <v>98</v>
      </c>
      <c r="F43" s="3">
        <v>1</v>
      </c>
      <c r="G43" s="4" t="s">
        <v>99</v>
      </c>
      <c r="H43" s="5">
        <v>1</v>
      </c>
      <c r="I43" s="6">
        <v>46103</v>
      </c>
      <c r="J43" s="6">
        <v>46144</v>
      </c>
      <c r="K43" s="7">
        <v>6</v>
      </c>
      <c r="L43" s="7">
        <v>42</v>
      </c>
      <c r="M43" s="10" t="s">
        <v>119</v>
      </c>
      <c r="N43" s="8" t="s">
        <v>52</v>
      </c>
      <c r="O43" s="9" t="s">
        <v>120</v>
      </c>
    </row>
    <row r="44" spans="1:15" ht="144" x14ac:dyDescent="0.3">
      <c r="A44" s="3" t="s">
        <v>96</v>
      </c>
      <c r="B44" s="3" t="s">
        <v>121</v>
      </c>
      <c r="C44" s="3" t="str">
        <f>MID(Tabla1[[#This Row],[CodMovilidad]],6,3)</f>
        <v>008</v>
      </c>
      <c r="D44" s="3" t="s">
        <v>51</v>
      </c>
      <c r="E44" s="4" t="s">
        <v>98</v>
      </c>
      <c r="F44" s="3">
        <v>1</v>
      </c>
      <c r="G44" s="4" t="s">
        <v>99</v>
      </c>
      <c r="H44" s="5">
        <v>1</v>
      </c>
      <c r="I44" s="6">
        <v>46103</v>
      </c>
      <c r="J44" s="6">
        <v>46144</v>
      </c>
      <c r="K44" s="7">
        <v>6</v>
      </c>
      <c r="L44" s="7">
        <v>42</v>
      </c>
      <c r="M44" s="10" t="s">
        <v>122</v>
      </c>
      <c r="N44" s="8" t="s">
        <v>52</v>
      </c>
      <c r="O44" s="9" t="s">
        <v>123</v>
      </c>
    </row>
    <row r="45" spans="1:15" ht="302.39999999999998" x14ac:dyDescent="0.3">
      <c r="A45" s="3" t="s">
        <v>96</v>
      </c>
      <c r="B45" s="3" t="s">
        <v>124</v>
      </c>
      <c r="C45" s="3" t="str">
        <f>MID(Tabla1[[#This Row],[CodMovilidad]],6,3)</f>
        <v>009</v>
      </c>
      <c r="D45" s="3" t="s">
        <v>51</v>
      </c>
      <c r="E45" s="4" t="s">
        <v>98</v>
      </c>
      <c r="F45" s="3">
        <v>1</v>
      </c>
      <c r="G45" s="4" t="s">
        <v>99</v>
      </c>
      <c r="H45" s="5">
        <v>1</v>
      </c>
      <c r="I45" s="6">
        <v>46103</v>
      </c>
      <c r="J45" s="6">
        <v>46144</v>
      </c>
      <c r="K45" s="7">
        <v>6</v>
      </c>
      <c r="L45" s="7">
        <v>42</v>
      </c>
      <c r="M45" s="10" t="s">
        <v>125</v>
      </c>
      <c r="N45" s="8" t="s">
        <v>52</v>
      </c>
      <c r="O45" s="9" t="s">
        <v>126</v>
      </c>
    </row>
    <row r="46" spans="1:15" ht="172.8" x14ac:dyDescent="0.3">
      <c r="A46" s="3" t="s">
        <v>96</v>
      </c>
      <c r="B46" s="3" t="s">
        <v>127</v>
      </c>
      <c r="C46" s="3" t="str">
        <f>MID(Tabla1[[#This Row],[CodMovilidad]],6,3)</f>
        <v>010</v>
      </c>
      <c r="D46" s="3" t="s">
        <v>51</v>
      </c>
      <c r="E46" s="4" t="s">
        <v>98</v>
      </c>
      <c r="F46" s="3">
        <v>1</v>
      </c>
      <c r="G46" s="4" t="s">
        <v>99</v>
      </c>
      <c r="H46" s="5">
        <v>1</v>
      </c>
      <c r="I46" s="6">
        <v>46082</v>
      </c>
      <c r="J46" s="6">
        <v>46123</v>
      </c>
      <c r="K46" s="7">
        <v>6</v>
      </c>
      <c r="L46" s="7">
        <v>42</v>
      </c>
      <c r="M46" s="10" t="s">
        <v>128</v>
      </c>
      <c r="N46" s="8" t="s">
        <v>52</v>
      </c>
      <c r="O46" s="9" t="s">
        <v>129</v>
      </c>
    </row>
    <row r="47" spans="1:15" ht="172.8" x14ac:dyDescent="0.3">
      <c r="A47" s="3" t="s">
        <v>96</v>
      </c>
      <c r="B47" s="3" t="s">
        <v>130</v>
      </c>
      <c r="C47" s="3" t="str">
        <f>MID(Tabla1[[#This Row],[CodMovilidad]],6,3)</f>
        <v>011</v>
      </c>
      <c r="D47" s="3" t="s">
        <v>51</v>
      </c>
      <c r="E47" s="4" t="s">
        <v>98</v>
      </c>
      <c r="F47" s="3">
        <v>1</v>
      </c>
      <c r="G47" s="4" t="s">
        <v>99</v>
      </c>
      <c r="H47" s="5">
        <v>1</v>
      </c>
      <c r="I47" s="6">
        <v>46082</v>
      </c>
      <c r="J47" s="6">
        <v>46123</v>
      </c>
      <c r="K47" s="7">
        <v>6</v>
      </c>
      <c r="L47" s="7">
        <v>42</v>
      </c>
      <c r="M47" s="10" t="s">
        <v>131</v>
      </c>
      <c r="N47" s="8" t="s">
        <v>52</v>
      </c>
      <c r="O47" s="9" t="s">
        <v>132</v>
      </c>
    </row>
    <row r="48" spans="1:15" ht="259.2" x14ac:dyDescent="0.3">
      <c r="A48" s="3" t="s">
        <v>96</v>
      </c>
      <c r="B48" s="3" t="s">
        <v>133</v>
      </c>
      <c r="C48" s="3" t="str">
        <f>MID(Tabla1[[#This Row],[CodMovilidad]],6,3)</f>
        <v>012</v>
      </c>
      <c r="D48" s="3" t="s">
        <v>51</v>
      </c>
      <c r="E48" s="4" t="s">
        <v>98</v>
      </c>
      <c r="F48" s="3">
        <v>1</v>
      </c>
      <c r="G48" s="4" t="s">
        <v>99</v>
      </c>
      <c r="H48" s="5">
        <v>1</v>
      </c>
      <c r="I48" s="6">
        <v>46082</v>
      </c>
      <c r="J48" s="6">
        <v>46109</v>
      </c>
      <c r="K48" s="7">
        <v>4</v>
      </c>
      <c r="L48" s="7">
        <v>28</v>
      </c>
      <c r="M48" s="10" t="s">
        <v>134</v>
      </c>
      <c r="N48" s="8" t="s">
        <v>52</v>
      </c>
      <c r="O48" s="9" t="s">
        <v>135</v>
      </c>
    </row>
    <row r="49" spans="1:15" ht="115.2" x14ac:dyDescent="0.3">
      <c r="A49" s="3" t="s">
        <v>96</v>
      </c>
      <c r="B49" s="3" t="s">
        <v>136</v>
      </c>
      <c r="C49" s="3" t="str">
        <f>MID(Tabla1[[#This Row],[CodMovilidad]],6,3)</f>
        <v>013</v>
      </c>
      <c r="D49" s="3" t="s">
        <v>51</v>
      </c>
      <c r="E49" s="4" t="s">
        <v>98</v>
      </c>
      <c r="F49" s="3">
        <v>1</v>
      </c>
      <c r="G49" s="4" t="s">
        <v>99</v>
      </c>
      <c r="H49" s="5">
        <v>1</v>
      </c>
      <c r="I49" s="6">
        <v>46103</v>
      </c>
      <c r="J49" s="6">
        <v>46144</v>
      </c>
      <c r="K49" s="7">
        <v>6</v>
      </c>
      <c r="L49" s="7">
        <v>42</v>
      </c>
      <c r="M49" s="10" t="s">
        <v>137</v>
      </c>
      <c r="N49" s="8" t="s">
        <v>52</v>
      </c>
      <c r="O49" s="9" t="s">
        <v>138</v>
      </c>
    </row>
    <row r="50" spans="1:15" ht="259.2" x14ac:dyDescent="0.3">
      <c r="A50" s="3" t="s">
        <v>96</v>
      </c>
      <c r="B50" s="3" t="s">
        <v>139</v>
      </c>
      <c r="C50" s="3" t="str">
        <f>MID(Tabla1[[#This Row],[CodMovilidad]],6,3)</f>
        <v>014</v>
      </c>
      <c r="D50" s="3" t="s">
        <v>51</v>
      </c>
      <c r="E50" s="4" t="s">
        <v>98</v>
      </c>
      <c r="F50" s="3">
        <v>1</v>
      </c>
      <c r="G50" s="4" t="s">
        <v>99</v>
      </c>
      <c r="H50" s="5">
        <v>1</v>
      </c>
      <c r="I50" s="6">
        <v>46110</v>
      </c>
      <c r="J50" s="6">
        <v>46137</v>
      </c>
      <c r="K50" s="7">
        <v>4</v>
      </c>
      <c r="L50" s="7">
        <v>28</v>
      </c>
      <c r="M50" s="10" t="s">
        <v>134</v>
      </c>
      <c r="N50" s="8" t="s">
        <v>52</v>
      </c>
      <c r="O50" s="9" t="s">
        <v>135</v>
      </c>
    </row>
    <row r="51" spans="1:15" ht="158.4" x14ac:dyDescent="0.3">
      <c r="A51" s="3" t="s">
        <v>96</v>
      </c>
      <c r="B51" s="3" t="s">
        <v>140</v>
      </c>
      <c r="C51" s="3" t="str">
        <f>MID(Tabla1[[#This Row],[CodMovilidad]],6,3)</f>
        <v>015</v>
      </c>
      <c r="D51" s="3" t="s">
        <v>51</v>
      </c>
      <c r="E51" s="4" t="s">
        <v>98</v>
      </c>
      <c r="F51" s="3">
        <v>1</v>
      </c>
      <c r="G51" s="4" t="s">
        <v>99</v>
      </c>
      <c r="H51" s="5">
        <v>1</v>
      </c>
      <c r="I51" s="6">
        <v>46110</v>
      </c>
      <c r="J51" s="6">
        <v>46137</v>
      </c>
      <c r="K51" s="7">
        <v>4</v>
      </c>
      <c r="L51" s="7">
        <v>28</v>
      </c>
      <c r="M51" s="10" t="s">
        <v>115</v>
      </c>
      <c r="N51" s="8" t="s">
        <v>116</v>
      </c>
      <c r="O51" s="9" t="s">
        <v>117</v>
      </c>
    </row>
    <row r="52" spans="1:15" ht="115.2" x14ac:dyDescent="0.3">
      <c r="A52" s="3" t="s">
        <v>96</v>
      </c>
      <c r="B52" s="3" t="s">
        <v>141</v>
      </c>
      <c r="C52" s="3" t="str">
        <f>MID(Tabla1[[#This Row],[CodMovilidad]],6,3)</f>
        <v>016</v>
      </c>
      <c r="D52" s="3" t="s">
        <v>51</v>
      </c>
      <c r="E52" s="4" t="s">
        <v>98</v>
      </c>
      <c r="F52" s="3">
        <v>1</v>
      </c>
      <c r="G52" s="4" t="s">
        <v>99</v>
      </c>
      <c r="H52" s="5">
        <v>1</v>
      </c>
      <c r="I52" s="6">
        <v>46110</v>
      </c>
      <c r="J52" s="6">
        <v>46137</v>
      </c>
      <c r="K52" s="7">
        <v>4</v>
      </c>
      <c r="L52" s="7">
        <v>28</v>
      </c>
      <c r="M52" s="10" t="s">
        <v>109</v>
      </c>
      <c r="N52" s="8" t="s">
        <v>52</v>
      </c>
      <c r="O52" s="9" t="s">
        <v>110</v>
      </c>
    </row>
    <row r="53" spans="1:15" ht="230.4" x14ac:dyDescent="0.3">
      <c r="A53" s="3" t="s">
        <v>96</v>
      </c>
      <c r="B53" s="3" t="s">
        <v>142</v>
      </c>
      <c r="C53" s="3" t="str">
        <f>MID(Tabla1[[#This Row],[CodMovilidad]],6,3)</f>
        <v>017</v>
      </c>
      <c r="D53" s="3" t="s">
        <v>51</v>
      </c>
      <c r="E53" s="4" t="s">
        <v>98</v>
      </c>
      <c r="F53" s="3">
        <v>1</v>
      </c>
      <c r="G53" s="4" t="s">
        <v>99</v>
      </c>
      <c r="H53" s="5">
        <v>1</v>
      </c>
      <c r="I53" s="6">
        <v>46124</v>
      </c>
      <c r="J53" s="6">
        <v>46165</v>
      </c>
      <c r="K53" s="7">
        <v>6</v>
      </c>
      <c r="L53" s="7">
        <v>42</v>
      </c>
      <c r="M53" s="10" t="s">
        <v>100</v>
      </c>
      <c r="N53" s="8" t="s">
        <v>52</v>
      </c>
      <c r="O53" s="9" t="s">
        <v>101</v>
      </c>
    </row>
    <row r="54" spans="1:15" ht="172.8" x14ac:dyDescent="0.3">
      <c r="A54" s="3" t="s">
        <v>96</v>
      </c>
      <c r="B54" s="3" t="s">
        <v>143</v>
      </c>
      <c r="C54" s="3" t="str">
        <f>MID(Tabla1[[#This Row],[CodMovilidad]],6,3)</f>
        <v>018</v>
      </c>
      <c r="D54" s="3" t="s">
        <v>51</v>
      </c>
      <c r="E54" s="4" t="s">
        <v>98</v>
      </c>
      <c r="F54" s="3">
        <v>1</v>
      </c>
      <c r="G54" s="4" t="s">
        <v>99</v>
      </c>
      <c r="H54" s="5">
        <v>1</v>
      </c>
      <c r="I54" s="6">
        <v>46124</v>
      </c>
      <c r="J54" s="6">
        <v>46165</v>
      </c>
      <c r="K54" s="7">
        <v>6</v>
      </c>
      <c r="L54" s="7">
        <v>42</v>
      </c>
      <c r="M54" s="10" t="s">
        <v>131</v>
      </c>
      <c r="N54" s="8" t="s">
        <v>52</v>
      </c>
      <c r="O54" s="9" t="s">
        <v>132</v>
      </c>
    </row>
    <row r="55" spans="1:15" ht="201.6" x14ac:dyDescent="0.3">
      <c r="A55" s="3" t="s">
        <v>96</v>
      </c>
      <c r="B55" s="3" t="s">
        <v>144</v>
      </c>
      <c r="C55" s="3" t="str">
        <f>MID(Tabla1[[#This Row],[CodMovilidad]],6,3)</f>
        <v>019</v>
      </c>
      <c r="D55" s="3" t="s">
        <v>51</v>
      </c>
      <c r="E55" s="4" t="s">
        <v>98</v>
      </c>
      <c r="F55" s="3">
        <v>1</v>
      </c>
      <c r="G55" s="4" t="s">
        <v>99</v>
      </c>
      <c r="H55" s="5">
        <v>1</v>
      </c>
      <c r="I55" s="6">
        <v>46124</v>
      </c>
      <c r="J55" s="6">
        <v>46165</v>
      </c>
      <c r="K55" s="7">
        <v>6</v>
      </c>
      <c r="L55" s="7">
        <v>42</v>
      </c>
      <c r="M55" s="10" t="s">
        <v>106</v>
      </c>
      <c r="N55" s="8" t="s">
        <v>52</v>
      </c>
      <c r="O55" s="9" t="s">
        <v>107</v>
      </c>
    </row>
    <row r="56" spans="1:15" ht="172.8" x14ac:dyDescent="0.3">
      <c r="A56" s="3" t="s">
        <v>96</v>
      </c>
      <c r="B56" s="3" t="s">
        <v>145</v>
      </c>
      <c r="C56" s="3" t="str">
        <f>MID(Tabla1[[#This Row],[CodMovilidad]],6,3)</f>
        <v>020</v>
      </c>
      <c r="D56" s="3" t="s">
        <v>51</v>
      </c>
      <c r="E56" s="4" t="s">
        <v>98</v>
      </c>
      <c r="F56" s="3">
        <v>1</v>
      </c>
      <c r="G56" s="4" t="s">
        <v>99</v>
      </c>
      <c r="H56" s="5">
        <v>1</v>
      </c>
      <c r="I56" s="6">
        <v>46124</v>
      </c>
      <c r="J56" s="6">
        <v>46165</v>
      </c>
      <c r="K56" s="7">
        <v>6</v>
      </c>
      <c r="L56" s="7">
        <v>42</v>
      </c>
      <c r="M56" s="10" t="s">
        <v>128</v>
      </c>
      <c r="N56" s="8" t="s">
        <v>52</v>
      </c>
      <c r="O56" s="9" t="s">
        <v>129</v>
      </c>
    </row>
    <row r="57" spans="1:15" ht="100.8" x14ac:dyDescent="0.3">
      <c r="A57" s="3" t="s">
        <v>96</v>
      </c>
      <c r="B57" s="3" t="s">
        <v>146</v>
      </c>
      <c r="C57" s="3" t="str">
        <f>MID(Tabla1[[#This Row],[CodMovilidad]],6,3)</f>
        <v>021</v>
      </c>
      <c r="D57" s="3" t="s">
        <v>51</v>
      </c>
      <c r="E57" s="4" t="s">
        <v>98</v>
      </c>
      <c r="F57" s="3">
        <v>1</v>
      </c>
      <c r="G57" s="4" t="s">
        <v>99</v>
      </c>
      <c r="H57" s="5">
        <v>1</v>
      </c>
      <c r="I57" s="6">
        <v>46124</v>
      </c>
      <c r="J57" s="6">
        <v>46165</v>
      </c>
      <c r="K57" s="7">
        <v>6</v>
      </c>
      <c r="L57" s="7">
        <v>42</v>
      </c>
      <c r="M57" s="10" t="s">
        <v>112</v>
      </c>
      <c r="N57" s="8" t="s">
        <v>52</v>
      </c>
      <c r="O57" s="9" t="s">
        <v>113</v>
      </c>
    </row>
    <row r="58" spans="1:15" ht="115.2" x14ac:dyDescent="0.3">
      <c r="A58" s="3" t="s">
        <v>96</v>
      </c>
      <c r="B58" s="3" t="s">
        <v>147</v>
      </c>
      <c r="C58" s="3" t="str">
        <f>MID(Tabla1[[#This Row],[CodMovilidad]],6,3)</f>
        <v>022</v>
      </c>
      <c r="D58" s="3" t="s">
        <v>51</v>
      </c>
      <c r="E58" s="4" t="s">
        <v>98</v>
      </c>
      <c r="F58" s="3">
        <v>1</v>
      </c>
      <c r="G58" s="4" t="s">
        <v>99</v>
      </c>
      <c r="H58" s="5">
        <v>1</v>
      </c>
      <c r="I58" s="6">
        <v>46145</v>
      </c>
      <c r="J58" s="6">
        <v>46186</v>
      </c>
      <c r="K58" s="7">
        <v>6</v>
      </c>
      <c r="L58" s="7">
        <v>42</v>
      </c>
      <c r="M58" s="10" t="s">
        <v>119</v>
      </c>
      <c r="N58" s="8" t="s">
        <v>52</v>
      </c>
      <c r="O58" s="9" t="s">
        <v>120</v>
      </c>
    </row>
    <row r="59" spans="1:15" ht="129.6" x14ac:dyDescent="0.3">
      <c r="A59" s="3" t="s">
        <v>96</v>
      </c>
      <c r="B59" s="3" t="s">
        <v>148</v>
      </c>
      <c r="C59" s="3" t="str">
        <f>MID(Tabla1[[#This Row],[CodMovilidad]],6,3)</f>
        <v>023</v>
      </c>
      <c r="D59" s="3" t="s">
        <v>51</v>
      </c>
      <c r="E59" s="4" t="s">
        <v>98</v>
      </c>
      <c r="F59" s="3">
        <v>1</v>
      </c>
      <c r="G59" s="4" t="s">
        <v>99</v>
      </c>
      <c r="H59" s="5">
        <v>1</v>
      </c>
      <c r="I59" s="6">
        <v>46145</v>
      </c>
      <c r="J59" s="6">
        <v>46186</v>
      </c>
      <c r="K59" s="7">
        <v>6</v>
      </c>
      <c r="L59" s="7">
        <v>42</v>
      </c>
      <c r="M59" s="10" t="s">
        <v>103</v>
      </c>
      <c r="N59" s="8" t="s">
        <v>52</v>
      </c>
      <c r="O59" s="9" t="s">
        <v>104</v>
      </c>
    </row>
    <row r="60" spans="1:15" ht="144" x14ac:dyDescent="0.3">
      <c r="A60" s="3" t="s">
        <v>96</v>
      </c>
      <c r="B60" s="3" t="s">
        <v>149</v>
      </c>
      <c r="C60" s="3" t="str">
        <f>MID(Tabla1[[#This Row],[CodMovilidad]],6,3)</f>
        <v>024</v>
      </c>
      <c r="D60" s="3" t="s">
        <v>51</v>
      </c>
      <c r="E60" s="4" t="s">
        <v>98</v>
      </c>
      <c r="F60" s="3">
        <v>1</v>
      </c>
      <c r="G60" s="4" t="s">
        <v>99</v>
      </c>
      <c r="H60" s="5">
        <v>1</v>
      </c>
      <c r="I60" s="6">
        <v>46145</v>
      </c>
      <c r="J60" s="6">
        <v>46186</v>
      </c>
      <c r="K60" s="7">
        <v>6</v>
      </c>
      <c r="L60" s="7">
        <v>42</v>
      </c>
      <c r="M60" s="10" t="s">
        <v>122</v>
      </c>
      <c r="N60" s="8" t="s">
        <v>52</v>
      </c>
      <c r="O60" s="9" t="s">
        <v>123</v>
      </c>
    </row>
    <row r="61" spans="1:15" ht="302.39999999999998" x14ac:dyDescent="0.3">
      <c r="A61" s="3" t="s">
        <v>96</v>
      </c>
      <c r="B61" s="3" t="s">
        <v>150</v>
      </c>
      <c r="C61" s="3" t="str">
        <f>MID(Tabla1[[#This Row],[CodMovilidad]],6,3)</f>
        <v>025</v>
      </c>
      <c r="D61" s="3" t="s">
        <v>51</v>
      </c>
      <c r="E61" s="4" t="s">
        <v>98</v>
      </c>
      <c r="F61" s="3">
        <v>1</v>
      </c>
      <c r="G61" s="4" t="s">
        <v>99</v>
      </c>
      <c r="H61" s="5">
        <v>1</v>
      </c>
      <c r="I61" s="6">
        <v>46145</v>
      </c>
      <c r="J61" s="6">
        <v>46186</v>
      </c>
      <c r="K61" s="7">
        <v>6</v>
      </c>
      <c r="L61" s="7">
        <v>42</v>
      </c>
      <c r="M61" s="10" t="s">
        <v>125</v>
      </c>
      <c r="N61" s="8" t="s">
        <v>52</v>
      </c>
      <c r="O61" s="9" t="s">
        <v>126</v>
      </c>
    </row>
    <row r="62" spans="1:15" ht="115.2" x14ac:dyDescent="0.3">
      <c r="A62" s="3" t="s">
        <v>96</v>
      </c>
      <c r="B62" s="3" t="s">
        <v>151</v>
      </c>
      <c r="C62" s="3" t="str">
        <f>MID(Tabla1[[#This Row],[CodMovilidad]],6,3)</f>
        <v>026</v>
      </c>
      <c r="D62" s="3" t="s">
        <v>51</v>
      </c>
      <c r="E62" s="4" t="s">
        <v>98</v>
      </c>
      <c r="F62" s="3">
        <v>1</v>
      </c>
      <c r="G62" s="4" t="s">
        <v>99</v>
      </c>
      <c r="H62" s="5">
        <v>1</v>
      </c>
      <c r="I62" s="6">
        <v>46145</v>
      </c>
      <c r="J62" s="6">
        <v>46186</v>
      </c>
      <c r="K62" s="7">
        <v>6</v>
      </c>
      <c r="L62" s="7">
        <v>42</v>
      </c>
      <c r="M62" s="10" t="s">
        <v>137</v>
      </c>
      <c r="N62" s="8" t="s">
        <v>52</v>
      </c>
      <c r="O62" s="9" t="s">
        <v>138</v>
      </c>
    </row>
    <row r="63" spans="1:15" ht="259.2" x14ac:dyDescent="0.3">
      <c r="A63" s="3" t="s">
        <v>96</v>
      </c>
      <c r="B63" s="3" t="s">
        <v>152</v>
      </c>
      <c r="C63" s="3" t="str">
        <f>MID(Tabla1[[#This Row],[CodMovilidad]],6,3)</f>
        <v>027</v>
      </c>
      <c r="D63" s="3" t="s">
        <v>51</v>
      </c>
      <c r="E63" s="4" t="s">
        <v>98</v>
      </c>
      <c r="F63" s="3">
        <v>1</v>
      </c>
      <c r="G63" s="4" t="s">
        <v>99</v>
      </c>
      <c r="H63" s="5">
        <v>1</v>
      </c>
      <c r="I63" s="6">
        <v>46138</v>
      </c>
      <c r="J63" s="6">
        <v>46165</v>
      </c>
      <c r="K63" s="7">
        <v>4</v>
      </c>
      <c r="L63" s="7">
        <v>28</v>
      </c>
      <c r="M63" s="10" t="s">
        <v>134</v>
      </c>
      <c r="N63" s="8" t="s">
        <v>52</v>
      </c>
      <c r="O63" s="9" t="s">
        <v>135</v>
      </c>
    </row>
    <row r="64" spans="1:15" ht="158.4" x14ac:dyDescent="0.3">
      <c r="A64" s="3" t="s">
        <v>96</v>
      </c>
      <c r="B64" s="3" t="s">
        <v>153</v>
      </c>
      <c r="C64" s="3" t="str">
        <f>MID(Tabla1[[#This Row],[CodMovilidad]],6,3)</f>
        <v>028</v>
      </c>
      <c r="D64" s="3" t="s">
        <v>51</v>
      </c>
      <c r="E64" s="4" t="s">
        <v>98</v>
      </c>
      <c r="F64" s="3">
        <v>1</v>
      </c>
      <c r="G64" s="4" t="s">
        <v>99</v>
      </c>
      <c r="H64" s="5">
        <v>1</v>
      </c>
      <c r="I64" s="6">
        <v>46138</v>
      </c>
      <c r="J64" s="6">
        <v>46165</v>
      </c>
      <c r="K64" s="7">
        <v>4</v>
      </c>
      <c r="L64" s="7">
        <v>28</v>
      </c>
      <c r="M64" s="10" t="s">
        <v>115</v>
      </c>
      <c r="N64" s="8" t="s">
        <v>116</v>
      </c>
      <c r="O64" s="9" t="s">
        <v>117</v>
      </c>
    </row>
    <row r="65" spans="1:15" ht="115.2" x14ac:dyDescent="0.3">
      <c r="A65" s="3" t="s">
        <v>96</v>
      </c>
      <c r="B65" s="3" t="s">
        <v>154</v>
      </c>
      <c r="C65" s="3" t="str">
        <f>MID(Tabla1[[#This Row],[CodMovilidad]],6,3)</f>
        <v>029</v>
      </c>
      <c r="D65" s="3" t="s">
        <v>51</v>
      </c>
      <c r="E65" s="4" t="s">
        <v>98</v>
      </c>
      <c r="F65" s="3">
        <v>1</v>
      </c>
      <c r="G65" s="4" t="s">
        <v>99</v>
      </c>
      <c r="H65" s="5">
        <v>1</v>
      </c>
      <c r="I65" s="6">
        <v>46138</v>
      </c>
      <c r="J65" s="6">
        <v>46165</v>
      </c>
      <c r="K65" s="7">
        <v>4</v>
      </c>
      <c r="L65" s="7">
        <v>28</v>
      </c>
      <c r="M65" s="10" t="s">
        <v>109</v>
      </c>
      <c r="N65" s="8" t="s">
        <v>52</v>
      </c>
      <c r="O65" s="9" t="s">
        <v>110</v>
      </c>
    </row>
    <row r="66" spans="1:15" ht="259.2" x14ac:dyDescent="0.3">
      <c r="A66" s="3" t="s">
        <v>96</v>
      </c>
      <c r="B66" s="3" t="s">
        <v>155</v>
      </c>
      <c r="C66" s="3" t="str">
        <f>MID(Tabla1[[#This Row],[CodMovilidad]],6,3)</f>
        <v>030</v>
      </c>
      <c r="D66" s="3" t="s">
        <v>51</v>
      </c>
      <c r="E66" s="4" t="s">
        <v>98</v>
      </c>
      <c r="F66" s="3">
        <v>1</v>
      </c>
      <c r="G66" s="4" t="s">
        <v>99</v>
      </c>
      <c r="H66" s="5">
        <v>1</v>
      </c>
      <c r="I66" s="6">
        <v>46166</v>
      </c>
      <c r="J66" s="6">
        <v>46193</v>
      </c>
      <c r="K66" s="7">
        <v>4</v>
      </c>
      <c r="L66" s="7">
        <v>28</v>
      </c>
      <c r="M66" s="10" t="s">
        <v>134</v>
      </c>
      <c r="N66" s="8" t="s">
        <v>52</v>
      </c>
      <c r="O66" s="9" t="s">
        <v>135</v>
      </c>
    </row>
    <row r="67" spans="1:15" ht="158.4" x14ac:dyDescent="0.3">
      <c r="A67" s="3" t="s">
        <v>96</v>
      </c>
      <c r="B67" s="3" t="s">
        <v>156</v>
      </c>
      <c r="C67" s="3" t="str">
        <f>MID(Tabla1[[#This Row],[CodMovilidad]],6,3)</f>
        <v>031</v>
      </c>
      <c r="D67" s="3" t="s">
        <v>51</v>
      </c>
      <c r="E67" s="4" t="s">
        <v>98</v>
      </c>
      <c r="F67" s="3">
        <v>1</v>
      </c>
      <c r="G67" s="4" t="s">
        <v>99</v>
      </c>
      <c r="H67" s="5">
        <v>1</v>
      </c>
      <c r="I67" s="6">
        <v>46166</v>
      </c>
      <c r="J67" s="6">
        <v>46193</v>
      </c>
      <c r="K67" s="7">
        <v>4</v>
      </c>
      <c r="L67" s="7">
        <v>28</v>
      </c>
      <c r="M67" s="10" t="s">
        <v>115</v>
      </c>
      <c r="N67" s="8" t="s">
        <v>116</v>
      </c>
      <c r="O67" s="9" t="s">
        <v>117</v>
      </c>
    </row>
    <row r="68" spans="1:15" ht="115.2" x14ac:dyDescent="0.3">
      <c r="A68" s="3" t="s">
        <v>96</v>
      </c>
      <c r="B68" s="3" t="s">
        <v>157</v>
      </c>
      <c r="C68" s="3" t="str">
        <f>MID(Tabla1[[#This Row],[CodMovilidad]],6,3)</f>
        <v>032</v>
      </c>
      <c r="D68" s="3" t="s">
        <v>51</v>
      </c>
      <c r="E68" s="4" t="s">
        <v>98</v>
      </c>
      <c r="F68" s="3">
        <v>1</v>
      </c>
      <c r="G68" s="4" t="s">
        <v>99</v>
      </c>
      <c r="H68" s="5">
        <v>1</v>
      </c>
      <c r="I68" s="6">
        <v>46166</v>
      </c>
      <c r="J68" s="6">
        <v>46193</v>
      </c>
      <c r="K68" s="7">
        <v>4</v>
      </c>
      <c r="L68" s="7">
        <v>28</v>
      </c>
      <c r="M68" s="10" t="s">
        <v>109</v>
      </c>
      <c r="N68" s="8" t="s">
        <v>52</v>
      </c>
      <c r="O68" s="9" t="s">
        <v>110</v>
      </c>
    </row>
    <row r="69" spans="1:15" ht="360" x14ac:dyDescent="0.3">
      <c r="A69" s="3" t="s">
        <v>96</v>
      </c>
      <c r="B69" s="3" t="s">
        <v>158</v>
      </c>
      <c r="C69" s="3" t="str">
        <f>MID(Tabla1[[#This Row],[CodMovilidad]],6,3)</f>
        <v>033</v>
      </c>
      <c r="D69" s="3" t="s">
        <v>51</v>
      </c>
      <c r="E69" s="4" t="s">
        <v>33</v>
      </c>
      <c r="F69" s="3">
        <v>2</v>
      </c>
      <c r="G69" s="4" t="s">
        <v>159</v>
      </c>
      <c r="H69" s="5">
        <v>1</v>
      </c>
      <c r="I69" s="6">
        <v>46082</v>
      </c>
      <c r="J69" s="6">
        <v>46123</v>
      </c>
      <c r="K69" s="7">
        <v>6</v>
      </c>
      <c r="L69" s="7">
        <v>42</v>
      </c>
      <c r="M69" s="10" t="s">
        <v>160</v>
      </c>
      <c r="N69" s="8" t="s">
        <v>52</v>
      </c>
      <c r="O69" s="9" t="s">
        <v>161</v>
      </c>
    </row>
    <row r="70" spans="1:15" ht="316.8" x14ac:dyDescent="0.3">
      <c r="A70" s="3" t="s">
        <v>96</v>
      </c>
      <c r="B70" s="3" t="s">
        <v>162</v>
      </c>
      <c r="C70" s="3" t="str">
        <f>MID(Tabla1[[#This Row],[CodMovilidad]],6,3)</f>
        <v>034</v>
      </c>
      <c r="D70" s="3" t="s">
        <v>51</v>
      </c>
      <c r="E70" s="4" t="s">
        <v>33</v>
      </c>
      <c r="F70" s="3">
        <v>2</v>
      </c>
      <c r="G70" s="4" t="s">
        <v>159</v>
      </c>
      <c r="H70" s="5">
        <v>1</v>
      </c>
      <c r="I70" s="6">
        <v>46082</v>
      </c>
      <c r="J70" s="6">
        <v>46123</v>
      </c>
      <c r="K70" s="7">
        <v>6</v>
      </c>
      <c r="L70" s="7">
        <v>42</v>
      </c>
      <c r="M70" s="10" t="s">
        <v>163</v>
      </c>
      <c r="N70" s="8" t="s">
        <v>52</v>
      </c>
      <c r="O70" s="9" t="s">
        <v>164</v>
      </c>
    </row>
    <row r="71" spans="1:15" ht="259.2" x14ac:dyDescent="0.3">
      <c r="A71" s="3" t="s">
        <v>96</v>
      </c>
      <c r="B71" s="3" t="s">
        <v>165</v>
      </c>
      <c r="C71" s="3" t="str">
        <f>MID(Tabla1[[#This Row],[CodMovilidad]],6,3)</f>
        <v>035</v>
      </c>
      <c r="D71" s="3" t="s">
        <v>51</v>
      </c>
      <c r="E71" s="4" t="s">
        <v>33</v>
      </c>
      <c r="F71" s="3">
        <v>2</v>
      </c>
      <c r="G71" s="4" t="s">
        <v>159</v>
      </c>
      <c r="H71" s="5">
        <v>1</v>
      </c>
      <c r="I71" s="6">
        <v>46145</v>
      </c>
      <c r="J71" s="6">
        <v>46186</v>
      </c>
      <c r="K71" s="7">
        <v>6</v>
      </c>
      <c r="L71" s="7">
        <v>42</v>
      </c>
      <c r="M71" s="10" t="s">
        <v>166</v>
      </c>
      <c r="N71" s="8" t="s">
        <v>52</v>
      </c>
      <c r="O71" s="9" t="s">
        <v>167</v>
      </c>
    </row>
    <row r="72" spans="1:15" ht="360" x14ac:dyDescent="0.3">
      <c r="A72" s="3" t="s">
        <v>96</v>
      </c>
      <c r="B72" s="3" t="s">
        <v>168</v>
      </c>
      <c r="C72" s="3" t="str">
        <f>MID(Tabla1[[#This Row],[CodMovilidad]],6,3)</f>
        <v>036</v>
      </c>
      <c r="D72" s="3" t="s">
        <v>51</v>
      </c>
      <c r="E72" s="4" t="s">
        <v>33</v>
      </c>
      <c r="F72" s="3">
        <v>2</v>
      </c>
      <c r="G72" s="4" t="s">
        <v>159</v>
      </c>
      <c r="H72" s="5">
        <v>1</v>
      </c>
      <c r="I72" s="6">
        <v>46145</v>
      </c>
      <c r="J72" s="6">
        <v>46186</v>
      </c>
      <c r="K72" s="7">
        <v>6</v>
      </c>
      <c r="L72" s="7">
        <v>42</v>
      </c>
      <c r="M72" s="10" t="s">
        <v>169</v>
      </c>
      <c r="N72" s="8" t="s">
        <v>52</v>
      </c>
      <c r="O72" s="9" t="s">
        <v>170</v>
      </c>
    </row>
    <row r="73" spans="1:15" ht="302.39999999999998" x14ac:dyDescent="0.3">
      <c r="A73" s="3" t="s">
        <v>96</v>
      </c>
      <c r="B73" s="3" t="s">
        <v>171</v>
      </c>
      <c r="C73" s="3" t="str">
        <f>MID(Tabla1[[#This Row],[CodMovilidad]],6,3)</f>
        <v>037</v>
      </c>
      <c r="D73" s="3" t="s">
        <v>51</v>
      </c>
      <c r="E73" s="4" t="s">
        <v>33</v>
      </c>
      <c r="F73" s="3">
        <v>2</v>
      </c>
      <c r="G73" s="4" t="s">
        <v>159</v>
      </c>
      <c r="H73" s="5">
        <v>1</v>
      </c>
      <c r="I73" s="6">
        <v>46082</v>
      </c>
      <c r="J73" s="6">
        <v>46109</v>
      </c>
      <c r="K73" s="7">
        <v>4</v>
      </c>
      <c r="L73" s="7">
        <v>28</v>
      </c>
      <c r="M73" s="10" t="s">
        <v>172</v>
      </c>
      <c r="N73" s="8" t="s">
        <v>52</v>
      </c>
      <c r="O73" s="9" t="s">
        <v>173</v>
      </c>
    </row>
    <row r="74" spans="1:15" ht="316.8" x14ac:dyDescent="0.3">
      <c r="A74" s="3" t="s">
        <v>96</v>
      </c>
      <c r="B74" s="3" t="s">
        <v>174</v>
      </c>
      <c r="C74" s="3" t="str">
        <f>MID(Tabla1[[#This Row],[CodMovilidad]],6,3)</f>
        <v>038</v>
      </c>
      <c r="D74" s="3" t="s">
        <v>51</v>
      </c>
      <c r="E74" s="4" t="s">
        <v>33</v>
      </c>
      <c r="F74" s="3">
        <v>2</v>
      </c>
      <c r="G74" s="4" t="s">
        <v>159</v>
      </c>
      <c r="H74" s="5">
        <v>1</v>
      </c>
      <c r="I74" s="6">
        <v>46082</v>
      </c>
      <c r="J74" s="6">
        <v>46109</v>
      </c>
      <c r="K74" s="7">
        <v>4</v>
      </c>
      <c r="L74" s="7">
        <v>28</v>
      </c>
      <c r="M74" s="10" t="s">
        <v>175</v>
      </c>
      <c r="N74" s="8" t="s">
        <v>52</v>
      </c>
      <c r="O74" s="9" t="s">
        <v>176</v>
      </c>
    </row>
    <row r="75" spans="1:15" ht="374.4" x14ac:dyDescent="0.3">
      <c r="A75" s="3" t="s">
        <v>96</v>
      </c>
      <c r="B75" s="3" t="s">
        <v>177</v>
      </c>
      <c r="C75" s="3" t="str">
        <f>MID(Tabla1[[#This Row],[CodMovilidad]],6,3)</f>
        <v>039</v>
      </c>
      <c r="D75" s="3" t="s">
        <v>51</v>
      </c>
      <c r="E75" s="4" t="s">
        <v>33</v>
      </c>
      <c r="F75" s="3">
        <v>2</v>
      </c>
      <c r="G75" s="4" t="s">
        <v>159</v>
      </c>
      <c r="H75" s="5">
        <v>1</v>
      </c>
      <c r="I75" s="6">
        <v>46082</v>
      </c>
      <c r="J75" s="6">
        <v>46123</v>
      </c>
      <c r="K75" s="7">
        <v>6</v>
      </c>
      <c r="L75" s="7">
        <v>42</v>
      </c>
      <c r="M75" s="10" t="s">
        <v>178</v>
      </c>
      <c r="N75" s="8" t="s">
        <v>52</v>
      </c>
      <c r="O75" s="9" t="s">
        <v>179</v>
      </c>
    </row>
    <row r="76" spans="1:15" ht="316.8" x14ac:dyDescent="0.3">
      <c r="A76" s="3" t="s">
        <v>96</v>
      </c>
      <c r="B76" s="3" t="s">
        <v>180</v>
      </c>
      <c r="C76" s="3" t="str">
        <f>MID(Tabla1[[#This Row],[CodMovilidad]],6,3)</f>
        <v>040</v>
      </c>
      <c r="D76" s="3" t="s">
        <v>51</v>
      </c>
      <c r="E76" s="4" t="s">
        <v>33</v>
      </c>
      <c r="F76" s="3">
        <v>2</v>
      </c>
      <c r="G76" s="4" t="s">
        <v>159</v>
      </c>
      <c r="H76" s="5">
        <v>1</v>
      </c>
      <c r="I76" s="6">
        <v>46082</v>
      </c>
      <c r="J76" s="6">
        <v>46123</v>
      </c>
      <c r="K76" s="7">
        <v>6</v>
      </c>
      <c r="L76" s="7">
        <v>42</v>
      </c>
      <c r="M76" s="10" t="s">
        <v>181</v>
      </c>
      <c r="N76" s="8" t="s">
        <v>52</v>
      </c>
      <c r="O76" s="9" t="s">
        <v>182</v>
      </c>
    </row>
    <row r="77" spans="1:15" ht="100.8" x14ac:dyDescent="0.3">
      <c r="A77" s="3" t="s">
        <v>96</v>
      </c>
      <c r="B77" s="3" t="s">
        <v>183</v>
      </c>
      <c r="C77" s="3" t="str">
        <f>MID(Tabla1[[#This Row],[CodMovilidad]],6,3)</f>
        <v>041</v>
      </c>
      <c r="D77" s="3" t="s">
        <v>51</v>
      </c>
      <c r="E77" s="4" t="s">
        <v>33</v>
      </c>
      <c r="F77" s="3">
        <v>2</v>
      </c>
      <c r="G77" s="4" t="s">
        <v>159</v>
      </c>
      <c r="H77" s="5">
        <v>1</v>
      </c>
      <c r="I77" s="6">
        <v>46145</v>
      </c>
      <c r="J77" s="6">
        <v>46186</v>
      </c>
      <c r="K77" s="7">
        <v>6</v>
      </c>
      <c r="L77" s="7">
        <v>42</v>
      </c>
      <c r="M77" s="10" t="s">
        <v>184</v>
      </c>
      <c r="N77" s="8" t="s">
        <v>52</v>
      </c>
      <c r="O77" s="9" t="s">
        <v>185</v>
      </c>
    </row>
    <row r="78" spans="1:15" ht="259.2" x14ac:dyDescent="0.3">
      <c r="A78" s="3" t="s">
        <v>96</v>
      </c>
      <c r="B78" s="3" t="s">
        <v>186</v>
      </c>
      <c r="C78" s="3" t="str">
        <f>MID(Tabla1[[#This Row],[CodMovilidad]],6,3)</f>
        <v>042</v>
      </c>
      <c r="D78" s="3" t="s">
        <v>51</v>
      </c>
      <c r="E78" s="4" t="s">
        <v>33</v>
      </c>
      <c r="F78" s="3">
        <v>2</v>
      </c>
      <c r="G78" s="4" t="s">
        <v>159</v>
      </c>
      <c r="H78" s="5">
        <v>1</v>
      </c>
      <c r="I78" s="6">
        <v>46082</v>
      </c>
      <c r="J78" s="6">
        <v>46123</v>
      </c>
      <c r="K78" s="7">
        <v>6</v>
      </c>
      <c r="L78" s="7">
        <v>42</v>
      </c>
      <c r="M78" s="10" t="s">
        <v>187</v>
      </c>
      <c r="N78" s="8" t="s">
        <v>52</v>
      </c>
      <c r="O78" s="9" t="s">
        <v>188</v>
      </c>
    </row>
    <row r="79" spans="1:15" ht="388.8" x14ac:dyDescent="0.3">
      <c r="A79" s="3" t="s">
        <v>96</v>
      </c>
      <c r="B79" s="3" t="s">
        <v>189</v>
      </c>
      <c r="C79" s="3" t="str">
        <f>MID(Tabla1[[#This Row],[CodMovilidad]],6,3)</f>
        <v>043</v>
      </c>
      <c r="D79" s="3" t="s">
        <v>51</v>
      </c>
      <c r="E79" s="4" t="s">
        <v>33</v>
      </c>
      <c r="F79" s="3">
        <v>2</v>
      </c>
      <c r="G79" s="4" t="s">
        <v>159</v>
      </c>
      <c r="H79" s="5">
        <v>1</v>
      </c>
      <c r="I79" s="6">
        <v>46082</v>
      </c>
      <c r="J79" s="6">
        <v>46109</v>
      </c>
      <c r="K79" s="7">
        <v>4</v>
      </c>
      <c r="L79" s="7">
        <v>28</v>
      </c>
      <c r="M79" s="10" t="s">
        <v>190</v>
      </c>
      <c r="N79" s="8" t="s">
        <v>52</v>
      </c>
      <c r="O79" s="9" t="s">
        <v>191</v>
      </c>
    </row>
    <row r="80" spans="1:15" ht="388.8" x14ac:dyDescent="0.3">
      <c r="A80" s="3" t="s">
        <v>96</v>
      </c>
      <c r="B80" s="3" t="s">
        <v>192</v>
      </c>
      <c r="C80" s="3" t="str">
        <f>MID(Tabla1[[#This Row],[CodMovilidad]],6,3)</f>
        <v>044</v>
      </c>
      <c r="D80" s="3" t="s">
        <v>51</v>
      </c>
      <c r="E80" s="4" t="s">
        <v>33</v>
      </c>
      <c r="F80" s="3">
        <v>2</v>
      </c>
      <c r="G80" s="4" t="s">
        <v>159</v>
      </c>
      <c r="H80" s="5">
        <v>1</v>
      </c>
      <c r="I80" s="6">
        <v>46110</v>
      </c>
      <c r="J80" s="6">
        <v>46137</v>
      </c>
      <c r="K80" s="7">
        <v>4</v>
      </c>
      <c r="L80" s="7">
        <v>28</v>
      </c>
      <c r="M80" s="10" t="s">
        <v>190</v>
      </c>
      <c r="N80" s="8" t="s">
        <v>52</v>
      </c>
      <c r="O80" s="9" t="s">
        <v>191</v>
      </c>
    </row>
    <row r="81" spans="1:15" ht="302.39999999999998" x14ac:dyDescent="0.3">
      <c r="A81" s="3" t="s">
        <v>96</v>
      </c>
      <c r="B81" s="3" t="s">
        <v>193</v>
      </c>
      <c r="C81" s="3" t="str">
        <f>MID(Tabla1[[#This Row],[CodMovilidad]],6,3)</f>
        <v>045</v>
      </c>
      <c r="D81" s="3" t="s">
        <v>51</v>
      </c>
      <c r="E81" s="4" t="s">
        <v>33</v>
      </c>
      <c r="F81" s="3">
        <v>2</v>
      </c>
      <c r="G81" s="4" t="s">
        <v>159</v>
      </c>
      <c r="H81" s="5">
        <v>1</v>
      </c>
      <c r="I81" s="6">
        <v>46110</v>
      </c>
      <c r="J81" s="6">
        <v>46137</v>
      </c>
      <c r="K81" s="7">
        <v>4</v>
      </c>
      <c r="L81" s="7">
        <v>28</v>
      </c>
      <c r="M81" s="10" t="s">
        <v>172</v>
      </c>
      <c r="N81" s="8" t="s">
        <v>52</v>
      </c>
      <c r="O81" s="9" t="s">
        <v>173</v>
      </c>
    </row>
    <row r="82" spans="1:15" ht="316.8" x14ac:dyDescent="0.3">
      <c r="A82" s="3" t="s">
        <v>96</v>
      </c>
      <c r="B82" s="3" t="s">
        <v>194</v>
      </c>
      <c r="C82" s="3" t="str">
        <f>MID(Tabla1[[#This Row],[CodMovilidad]],6,3)</f>
        <v>046</v>
      </c>
      <c r="D82" s="3" t="s">
        <v>51</v>
      </c>
      <c r="E82" s="4" t="s">
        <v>33</v>
      </c>
      <c r="F82" s="3">
        <v>2</v>
      </c>
      <c r="G82" s="4" t="s">
        <v>159</v>
      </c>
      <c r="H82" s="5">
        <v>1</v>
      </c>
      <c r="I82" s="6">
        <v>46110</v>
      </c>
      <c r="J82" s="6">
        <v>46137</v>
      </c>
      <c r="K82" s="7">
        <v>4</v>
      </c>
      <c r="L82" s="7">
        <v>28</v>
      </c>
      <c r="M82" s="10" t="s">
        <v>175</v>
      </c>
      <c r="N82" s="8" t="s">
        <v>52</v>
      </c>
      <c r="O82" s="9" t="s">
        <v>176</v>
      </c>
    </row>
    <row r="83" spans="1:15" ht="374.4" x14ac:dyDescent="0.3">
      <c r="A83" s="3" t="s">
        <v>96</v>
      </c>
      <c r="B83" s="3" t="s">
        <v>195</v>
      </c>
      <c r="C83" s="3" t="str">
        <f>MID(Tabla1[[#This Row],[CodMovilidad]],6,3)</f>
        <v>047</v>
      </c>
      <c r="D83" s="3" t="s">
        <v>51</v>
      </c>
      <c r="E83" s="4" t="s">
        <v>33</v>
      </c>
      <c r="F83" s="3">
        <v>2</v>
      </c>
      <c r="G83" s="4" t="s">
        <v>159</v>
      </c>
      <c r="H83" s="5">
        <v>1</v>
      </c>
      <c r="I83" s="6">
        <v>46124</v>
      </c>
      <c r="J83" s="6">
        <v>46165</v>
      </c>
      <c r="K83" s="7">
        <v>6</v>
      </c>
      <c r="L83" s="7">
        <v>42</v>
      </c>
      <c r="M83" s="10" t="s">
        <v>178</v>
      </c>
      <c r="N83" s="8" t="s">
        <v>52</v>
      </c>
      <c r="O83" s="9" t="s">
        <v>179</v>
      </c>
    </row>
    <row r="84" spans="1:15" ht="259.2" x14ac:dyDescent="0.3">
      <c r="A84" s="3" t="s">
        <v>96</v>
      </c>
      <c r="B84" s="3" t="s">
        <v>196</v>
      </c>
      <c r="C84" s="3" t="str">
        <f>MID(Tabla1[[#This Row],[CodMovilidad]],6,3)</f>
        <v>048</v>
      </c>
      <c r="D84" s="3" t="s">
        <v>51</v>
      </c>
      <c r="E84" s="4" t="s">
        <v>33</v>
      </c>
      <c r="F84" s="3">
        <v>2</v>
      </c>
      <c r="G84" s="4" t="s">
        <v>159</v>
      </c>
      <c r="H84" s="5">
        <v>1</v>
      </c>
      <c r="I84" s="6">
        <v>46124</v>
      </c>
      <c r="J84" s="6">
        <v>46165</v>
      </c>
      <c r="K84" s="7">
        <v>6</v>
      </c>
      <c r="L84" s="7">
        <v>42</v>
      </c>
      <c r="M84" s="10" t="s">
        <v>187</v>
      </c>
      <c r="N84" s="8" t="s">
        <v>52</v>
      </c>
      <c r="O84" s="9" t="s">
        <v>188</v>
      </c>
    </row>
    <row r="85" spans="1:15" ht="388.8" x14ac:dyDescent="0.3">
      <c r="A85" s="3" t="s">
        <v>96</v>
      </c>
      <c r="B85" s="3" t="s">
        <v>197</v>
      </c>
      <c r="C85" s="3" t="str">
        <f>MID(Tabla1[[#This Row],[CodMovilidad]],6,3)</f>
        <v>049</v>
      </c>
      <c r="D85" s="3" t="s">
        <v>51</v>
      </c>
      <c r="E85" s="4" t="s">
        <v>33</v>
      </c>
      <c r="F85" s="3">
        <v>2</v>
      </c>
      <c r="G85" s="4" t="s">
        <v>159</v>
      </c>
      <c r="H85" s="5">
        <v>1</v>
      </c>
      <c r="I85" s="6">
        <v>46138</v>
      </c>
      <c r="J85" s="6">
        <v>46165</v>
      </c>
      <c r="K85" s="7">
        <v>4</v>
      </c>
      <c r="L85" s="7">
        <v>28</v>
      </c>
      <c r="M85" s="10" t="s">
        <v>190</v>
      </c>
      <c r="N85" s="8" t="s">
        <v>52</v>
      </c>
      <c r="O85" s="9" t="s">
        <v>191</v>
      </c>
    </row>
    <row r="86" spans="1:15" ht="388.8" x14ac:dyDescent="0.3">
      <c r="A86" s="3" t="s">
        <v>96</v>
      </c>
      <c r="B86" s="3" t="s">
        <v>198</v>
      </c>
      <c r="C86" s="3" t="str">
        <f>MID(Tabla1[[#This Row],[CodMovilidad]],6,3)</f>
        <v>050</v>
      </c>
      <c r="D86" s="3" t="s">
        <v>51</v>
      </c>
      <c r="E86" s="4" t="s">
        <v>33</v>
      </c>
      <c r="F86" s="3">
        <v>2</v>
      </c>
      <c r="G86" s="4" t="s">
        <v>159</v>
      </c>
      <c r="H86" s="5">
        <v>1</v>
      </c>
      <c r="I86" s="6">
        <v>46166</v>
      </c>
      <c r="J86" s="6">
        <v>46193</v>
      </c>
      <c r="K86" s="7">
        <v>4</v>
      </c>
      <c r="L86" s="7">
        <v>28</v>
      </c>
      <c r="M86" s="10" t="s">
        <v>190</v>
      </c>
      <c r="N86" s="8" t="s">
        <v>52</v>
      </c>
      <c r="O86" s="9" t="s">
        <v>191</v>
      </c>
    </row>
    <row r="87" spans="1:15" ht="360" x14ac:dyDescent="0.3">
      <c r="A87" s="3" t="s">
        <v>96</v>
      </c>
      <c r="B87" s="3" t="s">
        <v>199</v>
      </c>
      <c r="C87" s="3" t="str">
        <f>MID(Tabla1[[#This Row],[CodMovilidad]],6,3)</f>
        <v>051</v>
      </c>
      <c r="D87" s="3" t="s">
        <v>51</v>
      </c>
      <c r="E87" s="4" t="s">
        <v>33</v>
      </c>
      <c r="F87" s="3">
        <v>2</v>
      </c>
      <c r="G87" s="4" t="s">
        <v>159</v>
      </c>
      <c r="H87" s="5">
        <v>1</v>
      </c>
      <c r="I87" s="6">
        <v>46145</v>
      </c>
      <c r="J87" s="6">
        <v>46186</v>
      </c>
      <c r="K87" s="7">
        <v>6</v>
      </c>
      <c r="L87" s="7">
        <v>42</v>
      </c>
      <c r="M87" s="10" t="s">
        <v>160</v>
      </c>
      <c r="N87" s="8" t="s">
        <v>52</v>
      </c>
      <c r="O87" s="9" t="s">
        <v>161</v>
      </c>
    </row>
    <row r="88" spans="1:15" ht="316.8" x14ac:dyDescent="0.3">
      <c r="A88" s="3" t="s">
        <v>96</v>
      </c>
      <c r="B88" s="3" t="s">
        <v>200</v>
      </c>
      <c r="C88" s="3" t="str">
        <f>MID(Tabla1[[#This Row],[CodMovilidad]],6,3)</f>
        <v>052</v>
      </c>
      <c r="D88" s="3" t="s">
        <v>51</v>
      </c>
      <c r="E88" s="4" t="s">
        <v>33</v>
      </c>
      <c r="F88" s="3">
        <v>2</v>
      </c>
      <c r="G88" s="4" t="s">
        <v>159</v>
      </c>
      <c r="H88" s="5">
        <v>1</v>
      </c>
      <c r="I88" s="6">
        <v>46145</v>
      </c>
      <c r="J88" s="6">
        <v>46186</v>
      </c>
      <c r="K88" s="7">
        <v>6</v>
      </c>
      <c r="L88" s="7">
        <v>42</v>
      </c>
      <c r="M88" s="10" t="s">
        <v>163</v>
      </c>
      <c r="N88" s="8" t="s">
        <v>52</v>
      </c>
      <c r="O88" s="9" t="s">
        <v>164</v>
      </c>
    </row>
    <row r="89" spans="1:15" ht="302.39999999999998" x14ac:dyDescent="0.3">
      <c r="A89" s="3" t="s">
        <v>96</v>
      </c>
      <c r="B89" s="3" t="s">
        <v>201</v>
      </c>
      <c r="C89" s="3" t="str">
        <f>MID(Tabla1[[#This Row],[CodMovilidad]],6,3)</f>
        <v>053</v>
      </c>
      <c r="D89" s="3" t="s">
        <v>51</v>
      </c>
      <c r="E89" s="4" t="s">
        <v>33</v>
      </c>
      <c r="F89" s="3">
        <v>2</v>
      </c>
      <c r="G89" s="4" t="s">
        <v>159</v>
      </c>
      <c r="H89" s="5">
        <v>1</v>
      </c>
      <c r="I89" s="6">
        <v>46159</v>
      </c>
      <c r="J89" s="6">
        <v>46200</v>
      </c>
      <c r="K89" s="7">
        <v>6</v>
      </c>
      <c r="L89" s="7">
        <v>42</v>
      </c>
      <c r="M89" s="10" t="s">
        <v>172</v>
      </c>
      <c r="N89" s="8" t="s">
        <v>52</v>
      </c>
      <c r="O89" s="9" t="s">
        <v>173</v>
      </c>
    </row>
    <row r="90" spans="1:15" ht="316.8" x14ac:dyDescent="0.3">
      <c r="A90" s="3" t="s">
        <v>96</v>
      </c>
      <c r="B90" s="3" t="s">
        <v>202</v>
      </c>
      <c r="C90" s="3" t="str">
        <f>MID(Tabla1[[#This Row],[CodMovilidad]],6,3)</f>
        <v>054</v>
      </c>
      <c r="D90" s="3" t="s">
        <v>51</v>
      </c>
      <c r="E90" s="4" t="s">
        <v>33</v>
      </c>
      <c r="F90" s="3">
        <v>2</v>
      </c>
      <c r="G90" s="4" t="s">
        <v>159</v>
      </c>
      <c r="H90" s="5">
        <v>1</v>
      </c>
      <c r="I90" s="6">
        <v>46159</v>
      </c>
      <c r="J90" s="6">
        <v>46200</v>
      </c>
      <c r="K90" s="7">
        <v>6</v>
      </c>
      <c r="L90" s="7">
        <v>42</v>
      </c>
      <c r="M90" s="10" t="s">
        <v>175</v>
      </c>
      <c r="N90" s="8" t="s">
        <v>52</v>
      </c>
      <c r="O90" s="9" t="s">
        <v>176</v>
      </c>
    </row>
    <row r="91" spans="1:15" ht="316.8" x14ac:dyDescent="0.3">
      <c r="A91" s="3" t="s">
        <v>96</v>
      </c>
      <c r="B91" s="3" t="s">
        <v>203</v>
      </c>
      <c r="C91" s="3" t="str">
        <f>MID(Tabla1[[#This Row],[CodMovilidad]],6,3)</f>
        <v>055</v>
      </c>
      <c r="D91" s="3" t="s">
        <v>51</v>
      </c>
      <c r="E91" s="4" t="s">
        <v>33</v>
      </c>
      <c r="F91" s="3">
        <v>2</v>
      </c>
      <c r="G91" s="4" t="s">
        <v>159</v>
      </c>
      <c r="H91" s="5">
        <v>1</v>
      </c>
      <c r="I91" s="6">
        <v>46159</v>
      </c>
      <c r="J91" s="6">
        <v>46200</v>
      </c>
      <c r="K91" s="7">
        <v>6</v>
      </c>
      <c r="L91" s="7">
        <v>42</v>
      </c>
      <c r="M91" s="10" t="s">
        <v>181</v>
      </c>
      <c r="N91" s="8" t="s">
        <v>52</v>
      </c>
      <c r="O91" s="9" t="s">
        <v>182</v>
      </c>
    </row>
    <row r="92" spans="1:15" ht="374.4" x14ac:dyDescent="0.3">
      <c r="A92" s="3" t="s">
        <v>96</v>
      </c>
      <c r="B92" s="3" t="s">
        <v>204</v>
      </c>
      <c r="C92" s="3" t="str">
        <f>MID(Tabla1[[#This Row],[CodMovilidad]],6,3)</f>
        <v>056</v>
      </c>
      <c r="D92" s="3" t="s">
        <v>51</v>
      </c>
      <c r="E92" s="4" t="s">
        <v>33</v>
      </c>
      <c r="F92" s="3">
        <v>2</v>
      </c>
      <c r="G92" s="4" t="s">
        <v>159</v>
      </c>
      <c r="H92" s="5">
        <v>1</v>
      </c>
      <c r="I92" s="6">
        <v>46166</v>
      </c>
      <c r="J92" s="6">
        <v>46193</v>
      </c>
      <c r="K92" s="7">
        <v>4</v>
      </c>
      <c r="L92" s="7">
        <v>28</v>
      </c>
      <c r="M92" s="10" t="s">
        <v>178</v>
      </c>
      <c r="N92" s="8" t="s">
        <v>52</v>
      </c>
      <c r="O92" s="9" t="s">
        <v>179</v>
      </c>
    </row>
    <row r="93" spans="1:15" ht="259.2" x14ac:dyDescent="0.3">
      <c r="A93" s="3" t="s">
        <v>96</v>
      </c>
      <c r="B93" s="3" t="s">
        <v>205</v>
      </c>
      <c r="C93" s="3" t="str">
        <f>MID(Tabla1[[#This Row],[CodMovilidad]],6,3)</f>
        <v>057</v>
      </c>
      <c r="D93" s="3" t="s">
        <v>51</v>
      </c>
      <c r="E93" s="4" t="s">
        <v>33</v>
      </c>
      <c r="F93" s="3">
        <v>2</v>
      </c>
      <c r="G93" s="4" t="s">
        <v>159</v>
      </c>
      <c r="H93" s="5">
        <v>1</v>
      </c>
      <c r="I93" s="6">
        <v>46166</v>
      </c>
      <c r="J93" s="6">
        <v>46193</v>
      </c>
      <c r="K93" s="7">
        <v>4</v>
      </c>
      <c r="L93" s="7">
        <v>28</v>
      </c>
      <c r="M93" s="10" t="s">
        <v>187</v>
      </c>
      <c r="N93" s="8" t="s">
        <v>52</v>
      </c>
      <c r="O93" s="9" t="s">
        <v>188</v>
      </c>
    </row>
    <row r="94" spans="1:15" ht="201.6" x14ac:dyDescent="0.3">
      <c r="A94" s="3" t="s">
        <v>96</v>
      </c>
      <c r="B94" s="3" t="s">
        <v>206</v>
      </c>
      <c r="C94" s="3" t="str">
        <f>MID(Tabla1[[#This Row],[CodMovilidad]],6,3)</f>
        <v>058</v>
      </c>
      <c r="D94" s="3" t="s">
        <v>51</v>
      </c>
      <c r="E94" s="4" t="s">
        <v>29</v>
      </c>
      <c r="F94" s="3">
        <v>2</v>
      </c>
      <c r="G94" s="4" t="s">
        <v>30</v>
      </c>
      <c r="H94" s="5">
        <v>1</v>
      </c>
      <c r="I94" s="6">
        <v>46082</v>
      </c>
      <c r="J94" s="6">
        <v>46123</v>
      </c>
      <c r="K94" s="7">
        <v>6</v>
      </c>
      <c r="L94" s="7">
        <v>42</v>
      </c>
      <c r="M94" s="10" t="s">
        <v>207</v>
      </c>
      <c r="N94" s="8" t="s">
        <v>52</v>
      </c>
      <c r="O94" s="9" t="s">
        <v>208</v>
      </c>
    </row>
    <row r="95" spans="1:15" ht="230.4" x14ac:dyDescent="0.3">
      <c r="A95" s="3" t="s">
        <v>96</v>
      </c>
      <c r="B95" s="3" t="s">
        <v>209</v>
      </c>
      <c r="C95" s="3" t="str">
        <f>MID(Tabla1[[#This Row],[CodMovilidad]],6,3)</f>
        <v>059</v>
      </c>
      <c r="D95" s="3" t="s">
        <v>51</v>
      </c>
      <c r="E95" s="4" t="s">
        <v>29</v>
      </c>
      <c r="F95" s="3">
        <v>2</v>
      </c>
      <c r="G95" s="4" t="s">
        <v>30</v>
      </c>
      <c r="H95" s="5">
        <v>1</v>
      </c>
      <c r="I95" s="6">
        <v>46082</v>
      </c>
      <c r="J95" s="6">
        <v>46123</v>
      </c>
      <c r="K95" s="7">
        <v>6</v>
      </c>
      <c r="L95" s="7">
        <v>42</v>
      </c>
      <c r="M95" s="10" t="s">
        <v>210</v>
      </c>
      <c r="N95" s="8" t="s">
        <v>52</v>
      </c>
      <c r="O95" s="9" t="s">
        <v>211</v>
      </c>
    </row>
    <row r="96" spans="1:15" ht="172.8" x14ac:dyDescent="0.3">
      <c r="A96" s="3" t="s">
        <v>96</v>
      </c>
      <c r="B96" s="3" t="s">
        <v>212</v>
      </c>
      <c r="C96" s="3" t="str">
        <f>MID(Tabla1[[#This Row],[CodMovilidad]],6,3)</f>
        <v>060</v>
      </c>
      <c r="D96" s="3" t="s">
        <v>51</v>
      </c>
      <c r="E96" s="4" t="s">
        <v>29</v>
      </c>
      <c r="F96" s="3">
        <v>2</v>
      </c>
      <c r="G96" s="4" t="s">
        <v>30</v>
      </c>
      <c r="H96" s="5">
        <v>1</v>
      </c>
      <c r="I96" s="6">
        <v>46082</v>
      </c>
      <c r="J96" s="6">
        <v>46123</v>
      </c>
      <c r="K96" s="7">
        <v>6</v>
      </c>
      <c r="L96" s="7">
        <v>42</v>
      </c>
      <c r="M96" s="10" t="s">
        <v>213</v>
      </c>
      <c r="N96" s="8" t="s">
        <v>52</v>
      </c>
      <c r="O96" s="9" t="s">
        <v>214</v>
      </c>
    </row>
    <row r="97" spans="1:15" ht="86.4" x14ac:dyDescent="0.3">
      <c r="A97" s="3" t="s">
        <v>96</v>
      </c>
      <c r="B97" s="3" t="s">
        <v>215</v>
      </c>
      <c r="C97" s="3" t="str">
        <f>MID(Tabla1[[#This Row],[CodMovilidad]],6,3)</f>
        <v>061</v>
      </c>
      <c r="D97" s="3" t="s">
        <v>51</v>
      </c>
      <c r="E97" s="4" t="s">
        <v>29</v>
      </c>
      <c r="F97" s="3">
        <v>2</v>
      </c>
      <c r="G97" s="4" t="s">
        <v>30</v>
      </c>
      <c r="H97" s="5">
        <v>1</v>
      </c>
      <c r="I97" s="6">
        <v>46103</v>
      </c>
      <c r="J97" s="6">
        <v>46144</v>
      </c>
      <c r="K97" s="7">
        <v>6</v>
      </c>
      <c r="L97" s="7">
        <v>42</v>
      </c>
      <c r="M97" s="10" t="s">
        <v>216</v>
      </c>
      <c r="N97" s="8" t="s">
        <v>52</v>
      </c>
      <c r="O97" s="9" t="s">
        <v>217</v>
      </c>
    </row>
    <row r="98" spans="1:15" ht="259.2" x14ac:dyDescent="0.3">
      <c r="A98" s="3" t="s">
        <v>96</v>
      </c>
      <c r="B98" s="3" t="s">
        <v>218</v>
      </c>
      <c r="C98" s="3" t="str">
        <f>MID(Tabla1[[#This Row],[CodMovilidad]],6,3)</f>
        <v>062</v>
      </c>
      <c r="D98" s="3" t="s">
        <v>51</v>
      </c>
      <c r="E98" s="4" t="s">
        <v>29</v>
      </c>
      <c r="F98" s="3">
        <v>2</v>
      </c>
      <c r="G98" s="4" t="s">
        <v>30</v>
      </c>
      <c r="H98" s="5">
        <v>1</v>
      </c>
      <c r="I98" s="6">
        <v>46103</v>
      </c>
      <c r="J98" s="6">
        <v>46144</v>
      </c>
      <c r="K98" s="7">
        <v>6</v>
      </c>
      <c r="L98" s="7">
        <v>42</v>
      </c>
      <c r="M98" s="10" t="s">
        <v>219</v>
      </c>
      <c r="N98" s="8" t="s">
        <v>52</v>
      </c>
      <c r="O98" s="9" t="s">
        <v>220</v>
      </c>
    </row>
    <row r="99" spans="1:15" ht="187.2" x14ac:dyDescent="0.3">
      <c r="A99" s="3" t="s">
        <v>96</v>
      </c>
      <c r="B99" s="3" t="s">
        <v>221</v>
      </c>
      <c r="C99" s="3" t="str">
        <f>MID(Tabla1[[#This Row],[CodMovilidad]],6,3)</f>
        <v>063</v>
      </c>
      <c r="D99" s="3" t="s">
        <v>51</v>
      </c>
      <c r="E99" s="4" t="s">
        <v>29</v>
      </c>
      <c r="F99" s="3">
        <v>2</v>
      </c>
      <c r="G99" s="4" t="s">
        <v>30</v>
      </c>
      <c r="H99" s="5">
        <v>1</v>
      </c>
      <c r="I99" s="6">
        <v>46103</v>
      </c>
      <c r="J99" s="6">
        <v>46144</v>
      </c>
      <c r="K99" s="7">
        <v>6</v>
      </c>
      <c r="L99" s="7">
        <v>42</v>
      </c>
      <c r="M99" s="10" t="s">
        <v>222</v>
      </c>
      <c r="N99" s="8" t="s">
        <v>52</v>
      </c>
      <c r="O99" s="9" t="s">
        <v>223</v>
      </c>
    </row>
    <row r="100" spans="1:15" ht="244.8" x14ac:dyDescent="0.3">
      <c r="A100" s="3" t="s">
        <v>96</v>
      </c>
      <c r="B100" s="3" t="s">
        <v>224</v>
      </c>
      <c r="C100" s="3" t="str">
        <f>MID(Tabla1[[#This Row],[CodMovilidad]],6,3)</f>
        <v>064</v>
      </c>
      <c r="D100" s="3" t="s">
        <v>51</v>
      </c>
      <c r="E100" s="4" t="s">
        <v>29</v>
      </c>
      <c r="F100" s="3">
        <v>2</v>
      </c>
      <c r="G100" s="4" t="s">
        <v>30</v>
      </c>
      <c r="H100" s="5">
        <v>1</v>
      </c>
      <c r="I100" s="6">
        <v>46103</v>
      </c>
      <c r="J100" s="6">
        <v>46144</v>
      </c>
      <c r="K100" s="7">
        <v>6</v>
      </c>
      <c r="L100" s="7">
        <v>42</v>
      </c>
      <c r="M100" s="10" t="s">
        <v>225</v>
      </c>
      <c r="N100" s="8" t="s">
        <v>52</v>
      </c>
      <c r="O100" s="9" t="s">
        <v>226</v>
      </c>
    </row>
    <row r="101" spans="1:15" ht="201.6" x14ac:dyDescent="0.3">
      <c r="A101" s="3" t="s">
        <v>96</v>
      </c>
      <c r="B101" s="3" t="s">
        <v>227</v>
      </c>
      <c r="C101" s="3" t="str">
        <f>MID(Tabla1[[#This Row],[CodMovilidad]],6,3)</f>
        <v>065</v>
      </c>
      <c r="D101" s="3" t="s">
        <v>51</v>
      </c>
      <c r="E101" s="4" t="s">
        <v>29</v>
      </c>
      <c r="F101" s="3">
        <v>2</v>
      </c>
      <c r="G101" s="4" t="s">
        <v>30</v>
      </c>
      <c r="H101" s="5">
        <v>1</v>
      </c>
      <c r="I101" s="6">
        <v>46103</v>
      </c>
      <c r="J101" s="6">
        <v>46144</v>
      </c>
      <c r="K101" s="7">
        <v>6</v>
      </c>
      <c r="L101" s="7">
        <v>42</v>
      </c>
      <c r="M101" s="10" t="s">
        <v>228</v>
      </c>
      <c r="N101" s="8" t="s">
        <v>52</v>
      </c>
      <c r="O101" s="9" t="s">
        <v>229</v>
      </c>
    </row>
    <row r="102" spans="1:15" ht="172.8" x14ac:dyDescent="0.3">
      <c r="A102" s="3" t="s">
        <v>96</v>
      </c>
      <c r="B102" s="3" t="s">
        <v>230</v>
      </c>
      <c r="C102" s="3" t="str">
        <f>MID(Tabla1[[#This Row],[CodMovilidad]],6,3)</f>
        <v>066</v>
      </c>
      <c r="D102" s="3" t="s">
        <v>51</v>
      </c>
      <c r="E102" s="4" t="s">
        <v>29</v>
      </c>
      <c r="F102" s="3">
        <v>2</v>
      </c>
      <c r="G102" s="4" t="s">
        <v>30</v>
      </c>
      <c r="H102" s="5">
        <v>1</v>
      </c>
      <c r="I102" s="6">
        <v>46124</v>
      </c>
      <c r="J102" s="6">
        <v>46165</v>
      </c>
      <c r="K102" s="7">
        <v>6</v>
      </c>
      <c r="L102" s="7">
        <v>42</v>
      </c>
      <c r="M102" s="10" t="s">
        <v>231</v>
      </c>
      <c r="N102" s="8" t="s">
        <v>52</v>
      </c>
      <c r="O102" s="9" t="s">
        <v>232</v>
      </c>
    </row>
    <row r="103" spans="1:15" ht="144" x14ac:dyDescent="0.3">
      <c r="A103" s="3" t="s">
        <v>96</v>
      </c>
      <c r="B103" s="3" t="s">
        <v>233</v>
      </c>
      <c r="C103" s="3" t="str">
        <f>MID(Tabla1[[#This Row],[CodMovilidad]],6,3)</f>
        <v>067</v>
      </c>
      <c r="D103" s="3" t="s">
        <v>51</v>
      </c>
      <c r="E103" s="4" t="s">
        <v>29</v>
      </c>
      <c r="F103" s="3">
        <v>2</v>
      </c>
      <c r="G103" s="4" t="s">
        <v>30</v>
      </c>
      <c r="H103" s="5">
        <v>1</v>
      </c>
      <c r="I103" s="6">
        <v>46124</v>
      </c>
      <c r="J103" s="6">
        <v>46165</v>
      </c>
      <c r="K103" s="7">
        <v>6</v>
      </c>
      <c r="L103" s="7">
        <v>42</v>
      </c>
      <c r="M103" s="10" t="s">
        <v>234</v>
      </c>
      <c r="N103" s="8" t="s">
        <v>52</v>
      </c>
      <c r="O103" s="9" t="s">
        <v>235</v>
      </c>
    </row>
    <row r="104" spans="1:15" ht="201.6" x14ac:dyDescent="0.3">
      <c r="A104" s="3" t="s">
        <v>96</v>
      </c>
      <c r="B104" s="3" t="s">
        <v>236</v>
      </c>
      <c r="C104" s="3" t="str">
        <f>MID(Tabla1[[#This Row],[CodMovilidad]],6,3)</f>
        <v>068</v>
      </c>
      <c r="D104" s="3" t="s">
        <v>51</v>
      </c>
      <c r="E104" s="4" t="s">
        <v>29</v>
      </c>
      <c r="F104" s="3">
        <v>2</v>
      </c>
      <c r="G104" s="4" t="s">
        <v>30</v>
      </c>
      <c r="H104" s="5">
        <v>1</v>
      </c>
      <c r="I104" s="6">
        <v>46138</v>
      </c>
      <c r="J104" s="6">
        <v>46165</v>
      </c>
      <c r="K104" s="7">
        <v>4</v>
      </c>
      <c r="L104" s="7">
        <v>28</v>
      </c>
      <c r="M104" s="10" t="s">
        <v>207</v>
      </c>
      <c r="N104" s="8" t="s">
        <v>52</v>
      </c>
      <c r="O104" s="9" t="s">
        <v>208</v>
      </c>
    </row>
    <row r="105" spans="1:15" ht="230.4" x14ac:dyDescent="0.3">
      <c r="A105" s="3" t="s">
        <v>96</v>
      </c>
      <c r="B105" s="3" t="s">
        <v>237</v>
      </c>
      <c r="C105" s="3" t="str">
        <f>MID(Tabla1[[#This Row],[CodMovilidad]],6,3)</f>
        <v>069</v>
      </c>
      <c r="D105" s="3" t="s">
        <v>51</v>
      </c>
      <c r="E105" s="4" t="s">
        <v>29</v>
      </c>
      <c r="F105" s="3">
        <v>2</v>
      </c>
      <c r="G105" s="4" t="s">
        <v>30</v>
      </c>
      <c r="H105" s="5">
        <v>1</v>
      </c>
      <c r="I105" s="6">
        <v>46138</v>
      </c>
      <c r="J105" s="6">
        <v>46165</v>
      </c>
      <c r="K105" s="7">
        <v>4</v>
      </c>
      <c r="L105" s="7">
        <v>28</v>
      </c>
      <c r="M105" s="10" t="s">
        <v>210</v>
      </c>
      <c r="N105" s="8" t="s">
        <v>52</v>
      </c>
      <c r="O105" s="9" t="s">
        <v>211</v>
      </c>
    </row>
    <row r="106" spans="1:15" ht="172.8" x14ac:dyDescent="0.3">
      <c r="A106" s="3" t="s">
        <v>96</v>
      </c>
      <c r="B106" s="3" t="s">
        <v>238</v>
      </c>
      <c r="C106" s="3" t="str">
        <f>MID(Tabla1[[#This Row],[CodMovilidad]],6,3)</f>
        <v>070</v>
      </c>
      <c r="D106" s="3" t="s">
        <v>51</v>
      </c>
      <c r="E106" s="4" t="s">
        <v>29</v>
      </c>
      <c r="F106" s="3">
        <v>2</v>
      </c>
      <c r="G106" s="4" t="s">
        <v>30</v>
      </c>
      <c r="H106" s="5">
        <v>1</v>
      </c>
      <c r="I106" s="6">
        <v>46138</v>
      </c>
      <c r="J106" s="6">
        <v>46165</v>
      </c>
      <c r="K106" s="7">
        <v>4</v>
      </c>
      <c r="L106" s="7">
        <v>28</v>
      </c>
      <c r="M106" s="10" t="s">
        <v>213</v>
      </c>
      <c r="N106" s="8" t="s">
        <v>52</v>
      </c>
      <c r="O106" s="9" t="s">
        <v>214</v>
      </c>
    </row>
    <row r="107" spans="1:15" ht="86.4" x14ac:dyDescent="0.3">
      <c r="A107" s="3" t="s">
        <v>96</v>
      </c>
      <c r="B107" s="3" t="s">
        <v>239</v>
      </c>
      <c r="C107" s="3" t="str">
        <f>MID(Tabla1[[#This Row],[CodMovilidad]],6,3)</f>
        <v>071</v>
      </c>
      <c r="D107" s="3" t="s">
        <v>51</v>
      </c>
      <c r="E107" s="4" t="s">
        <v>29</v>
      </c>
      <c r="F107" s="3">
        <v>2</v>
      </c>
      <c r="G107" s="4" t="s">
        <v>30</v>
      </c>
      <c r="H107" s="5">
        <v>1</v>
      </c>
      <c r="I107" s="6">
        <v>46145</v>
      </c>
      <c r="J107" s="6">
        <v>46186</v>
      </c>
      <c r="K107" s="7">
        <v>6</v>
      </c>
      <c r="L107" s="7">
        <v>42</v>
      </c>
      <c r="M107" s="10" t="s">
        <v>216</v>
      </c>
      <c r="N107" s="8" t="s">
        <v>52</v>
      </c>
      <c r="O107" s="9" t="s">
        <v>217</v>
      </c>
    </row>
    <row r="108" spans="1:15" ht="259.2" x14ac:dyDescent="0.3">
      <c r="A108" s="3" t="s">
        <v>96</v>
      </c>
      <c r="B108" s="3" t="s">
        <v>240</v>
      </c>
      <c r="C108" s="3" t="str">
        <f>MID(Tabla1[[#This Row],[CodMovilidad]],6,3)</f>
        <v>072</v>
      </c>
      <c r="D108" s="3" t="s">
        <v>51</v>
      </c>
      <c r="E108" s="4" t="s">
        <v>29</v>
      </c>
      <c r="F108" s="3">
        <v>2</v>
      </c>
      <c r="G108" s="4" t="s">
        <v>30</v>
      </c>
      <c r="H108" s="5">
        <v>1</v>
      </c>
      <c r="I108" s="6">
        <v>46145</v>
      </c>
      <c r="J108" s="6">
        <v>46186</v>
      </c>
      <c r="K108" s="7">
        <v>6</v>
      </c>
      <c r="L108" s="7">
        <v>42</v>
      </c>
      <c r="M108" s="10" t="s">
        <v>219</v>
      </c>
      <c r="N108" s="8" t="s">
        <v>52</v>
      </c>
      <c r="O108" s="9" t="s">
        <v>220</v>
      </c>
    </row>
    <row r="109" spans="1:15" ht="187.2" x14ac:dyDescent="0.3">
      <c r="A109" s="3" t="s">
        <v>96</v>
      </c>
      <c r="B109" s="3" t="s">
        <v>241</v>
      </c>
      <c r="C109" s="3" t="str">
        <f>MID(Tabla1[[#This Row],[CodMovilidad]],6,3)</f>
        <v>073</v>
      </c>
      <c r="D109" s="3" t="s">
        <v>51</v>
      </c>
      <c r="E109" s="4" t="s">
        <v>29</v>
      </c>
      <c r="F109" s="3">
        <v>2</v>
      </c>
      <c r="G109" s="4" t="s">
        <v>30</v>
      </c>
      <c r="H109" s="5">
        <v>1</v>
      </c>
      <c r="I109" s="6">
        <v>46145</v>
      </c>
      <c r="J109" s="6">
        <v>46186</v>
      </c>
      <c r="K109" s="7">
        <v>6</v>
      </c>
      <c r="L109" s="7">
        <v>42</v>
      </c>
      <c r="M109" s="10" t="s">
        <v>222</v>
      </c>
      <c r="N109" s="8" t="s">
        <v>52</v>
      </c>
      <c r="O109" s="9" t="s">
        <v>223</v>
      </c>
    </row>
    <row r="110" spans="1:15" ht="244.8" x14ac:dyDescent="0.3">
      <c r="A110" s="3" t="s">
        <v>96</v>
      </c>
      <c r="B110" s="3" t="s">
        <v>242</v>
      </c>
      <c r="C110" s="3" t="str">
        <f>MID(Tabla1[[#This Row],[CodMovilidad]],6,3)</f>
        <v>074</v>
      </c>
      <c r="D110" s="3" t="s">
        <v>51</v>
      </c>
      <c r="E110" s="4" t="s">
        <v>29</v>
      </c>
      <c r="F110" s="3">
        <v>2</v>
      </c>
      <c r="G110" s="4" t="s">
        <v>30</v>
      </c>
      <c r="H110" s="5">
        <v>1</v>
      </c>
      <c r="I110" s="6">
        <v>46145</v>
      </c>
      <c r="J110" s="6">
        <v>46186</v>
      </c>
      <c r="K110" s="7">
        <v>6</v>
      </c>
      <c r="L110" s="7">
        <v>42</v>
      </c>
      <c r="M110" s="10" t="s">
        <v>225</v>
      </c>
      <c r="N110" s="8" t="s">
        <v>52</v>
      </c>
      <c r="O110" s="9" t="s">
        <v>226</v>
      </c>
    </row>
    <row r="111" spans="1:15" ht="201.6" x14ac:dyDescent="0.3">
      <c r="A111" s="3" t="s">
        <v>96</v>
      </c>
      <c r="B111" s="3" t="s">
        <v>243</v>
      </c>
      <c r="C111" s="3" t="str">
        <f>MID(Tabla1[[#This Row],[CodMovilidad]],6,3)</f>
        <v>075</v>
      </c>
      <c r="D111" s="3" t="s">
        <v>51</v>
      </c>
      <c r="E111" s="4" t="s">
        <v>29</v>
      </c>
      <c r="F111" s="3">
        <v>2</v>
      </c>
      <c r="G111" s="4" t="s">
        <v>30</v>
      </c>
      <c r="H111" s="5">
        <v>1</v>
      </c>
      <c r="I111" s="6">
        <v>46145</v>
      </c>
      <c r="J111" s="6">
        <v>46186</v>
      </c>
      <c r="K111" s="7">
        <v>6</v>
      </c>
      <c r="L111" s="7">
        <v>42</v>
      </c>
      <c r="M111" s="10" t="s">
        <v>228</v>
      </c>
      <c r="N111" s="8" t="s">
        <v>52</v>
      </c>
      <c r="O111" s="9" t="s">
        <v>229</v>
      </c>
    </row>
    <row r="112" spans="1:15" ht="201.6" x14ac:dyDescent="0.3">
      <c r="A112" s="3" t="s">
        <v>96</v>
      </c>
      <c r="B112" s="3" t="s">
        <v>244</v>
      </c>
      <c r="C112" s="3" t="str">
        <f>MID(Tabla1[[#This Row],[CodMovilidad]],6,3)</f>
        <v>076</v>
      </c>
      <c r="D112" s="3" t="s">
        <v>51</v>
      </c>
      <c r="E112" s="4" t="s">
        <v>29</v>
      </c>
      <c r="F112" s="3">
        <v>2</v>
      </c>
      <c r="G112" s="4" t="s">
        <v>30</v>
      </c>
      <c r="H112" s="5">
        <v>1</v>
      </c>
      <c r="I112" s="6">
        <v>46166</v>
      </c>
      <c r="J112" s="6">
        <v>46193</v>
      </c>
      <c r="K112" s="7">
        <v>4</v>
      </c>
      <c r="L112" s="7">
        <v>28</v>
      </c>
      <c r="M112" s="10" t="s">
        <v>207</v>
      </c>
      <c r="N112" s="8" t="s">
        <v>52</v>
      </c>
      <c r="O112" s="9" t="s">
        <v>208</v>
      </c>
    </row>
    <row r="113" spans="1:15" ht="230.4" x14ac:dyDescent="0.3">
      <c r="A113" s="3" t="s">
        <v>96</v>
      </c>
      <c r="B113" s="3" t="s">
        <v>245</v>
      </c>
      <c r="C113" s="3" t="str">
        <f>MID(Tabla1[[#This Row],[CodMovilidad]],6,3)</f>
        <v>077</v>
      </c>
      <c r="D113" s="3" t="s">
        <v>51</v>
      </c>
      <c r="E113" s="4" t="s">
        <v>29</v>
      </c>
      <c r="F113" s="3">
        <v>2</v>
      </c>
      <c r="G113" s="4" t="s">
        <v>30</v>
      </c>
      <c r="H113" s="5">
        <v>1</v>
      </c>
      <c r="I113" s="6">
        <v>46166</v>
      </c>
      <c r="J113" s="6">
        <v>46193</v>
      </c>
      <c r="K113" s="7">
        <v>4</v>
      </c>
      <c r="L113" s="7">
        <v>28</v>
      </c>
      <c r="M113" s="10" t="s">
        <v>210</v>
      </c>
      <c r="N113" s="8" t="s">
        <v>52</v>
      </c>
      <c r="O113" s="9" t="s">
        <v>211</v>
      </c>
    </row>
    <row r="114" spans="1:15" ht="172.8" x14ac:dyDescent="0.3">
      <c r="A114" s="3" t="s">
        <v>96</v>
      </c>
      <c r="B114" s="3" t="s">
        <v>246</v>
      </c>
      <c r="C114" s="3" t="str">
        <f>MID(Tabla1[[#This Row],[CodMovilidad]],6,3)</f>
        <v>078</v>
      </c>
      <c r="D114" s="3" t="s">
        <v>51</v>
      </c>
      <c r="E114" s="4" t="s">
        <v>29</v>
      </c>
      <c r="F114" s="3">
        <v>2</v>
      </c>
      <c r="G114" s="4" t="s">
        <v>30</v>
      </c>
      <c r="H114" s="5">
        <v>1</v>
      </c>
      <c r="I114" s="6">
        <v>46166</v>
      </c>
      <c r="J114" s="6">
        <v>46193</v>
      </c>
      <c r="K114" s="7">
        <v>4</v>
      </c>
      <c r="L114" s="7">
        <v>28</v>
      </c>
      <c r="M114" s="10" t="s">
        <v>213</v>
      </c>
      <c r="N114" s="8" t="s">
        <v>52</v>
      </c>
      <c r="O114" s="9" t="s">
        <v>214</v>
      </c>
    </row>
    <row r="115" spans="1:15" ht="172.8" x14ac:dyDescent="0.3">
      <c r="A115" s="3" t="s">
        <v>96</v>
      </c>
      <c r="B115" s="3" t="s">
        <v>247</v>
      </c>
      <c r="C115" s="3" t="str">
        <f>MID(Tabla1[[#This Row],[CodMovilidad]],6,3)</f>
        <v>079</v>
      </c>
      <c r="D115" s="3" t="s">
        <v>51</v>
      </c>
      <c r="E115" s="4" t="s">
        <v>29</v>
      </c>
      <c r="F115" s="3">
        <v>2</v>
      </c>
      <c r="G115" s="4" t="s">
        <v>30</v>
      </c>
      <c r="H115" s="5">
        <v>1</v>
      </c>
      <c r="I115" s="6">
        <v>46166</v>
      </c>
      <c r="J115" s="6">
        <v>46193</v>
      </c>
      <c r="K115" s="7">
        <v>4</v>
      </c>
      <c r="L115" s="7">
        <v>28</v>
      </c>
      <c r="M115" s="10" t="s">
        <v>231</v>
      </c>
      <c r="N115" s="8" t="s">
        <v>52</v>
      </c>
      <c r="O115" s="9" t="s">
        <v>232</v>
      </c>
    </row>
    <row r="116" spans="1:15" ht="144" x14ac:dyDescent="0.3">
      <c r="A116" s="3" t="s">
        <v>96</v>
      </c>
      <c r="B116" s="3" t="s">
        <v>248</v>
      </c>
      <c r="C116" s="3" t="str">
        <f>MID(Tabla1[[#This Row],[CodMovilidad]],6,3)</f>
        <v>080</v>
      </c>
      <c r="D116" s="3" t="s">
        <v>51</v>
      </c>
      <c r="E116" s="4" t="s">
        <v>29</v>
      </c>
      <c r="F116" s="3">
        <v>2</v>
      </c>
      <c r="G116" s="4" t="s">
        <v>30</v>
      </c>
      <c r="H116" s="5">
        <v>1</v>
      </c>
      <c r="I116" s="6">
        <v>46166</v>
      </c>
      <c r="J116" s="6">
        <v>46193</v>
      </c>
      <c r="K116" s="7">
        <v>4</v>
      </c>
      <c r="L116" s="7">
        <v>28</v>
      </c>
      <c r="M116" s="10" t="s">
        <v>234</v>
      </c>
      <c r="N116" s="8" t="s">
        <v>52</v>
      </c>
      <c r="O116" s="9" t="s">
        <v>235</v>
      </c>
    </row>
    <row r="117" spans="1:15" ht="72" x14ac:dyDescent="0.3">
      <c r="A117" s="3" t="s">
        <v>96</v>
      </c>
      <c r="B117" s="3" t="s">
        <v>249</v>
      </c>
      <c r="C117" s="3" t="str">
        <f>MID(Tabla1[[#This Row],[CodMovilidad]],6,3)</f>
        <v>081</v>
      </c>
      <c r="D117" s="3" t="s">
        <v>51</v>
      </c>
      <c r="E117" s="4" t="s">
        <v>42</v>
      </c>
      <c r="F117" s="3">
        <v>3</v>
      </c>
      <c r="G117" s="4" t="s">
        <v>250</v>
      </c>
      <c r="H117" s="5">
        <v>1</v>
      </c>
      <c r="I117" s="6">
        <v>46082</v>
      </c>
      <c r="J117" s="6">
        <v>46109</v>
      </c>
      <c r="K117" s="7">
        <v>4</v>
      </c>
      <c r="L117" s="7">
        <v>28</v>
      </c>
      <c r="M117" s="10" t="s">
        <v>251</v>
      </c>
      <c r="N117" s="8" t="s">
        <v>52</v>
      </c>
      <c r="O117" s="9" t="s">
        <v>252</v>
      </c>
    </row>
    <row r="118" spans="1:15" ht="100.8" x14ac:dyDescent="0.3">
      <c r="A118" s="3" t="s">
        <v>96</v>
      </c>
      <c r="B118" s="3" t="s">
        <v>253</v>
      </c>
      <c r="C118" s="3" t="str">
        <f>MID(Tabla1[[#This Row],[CodMovilidad]],6,3)</f>
        <v>082</v>
      </c>
      <c r="D118" s="3" t="s">
        <v>51</v>
      </c>
      <c r="E118" s="4" t="s">
        <v>42</v>
      </c>
      <c r="F118" s="3">
        <v>3</v>
      </c>
      <c r="G118" s="4" t="s">
        <v>250</v>
      </c>
      <c r="H118" s="5">
        <v>1</v>
      </c>
      <c r="I118" s="6">
        <v>46082</v>
      </c>
      <c r="J118" s="6">
        <v>46109</v>
      </c>
      <c r="K118" s="7">
        <v>4</v>
      </c>
      <c r="L118" s="7">
        <v>28</v>
      </c>
      <c r="M118" s="10" t="s">
        <v>254</v>
      </c>
      <c r="N118" s="8" t="s">
        <v>52</v>
      </c>
      <c r="O118" s="9" t="s">
        <v>255</v>
      </c>
    </row>
    <row r="119" spans="1:15" ht="100.8" x14ac:dyDescent="0.3">
      <c r="A119" s="3" t="s">
        <v>96</v>
      </c>
      <c r="B119" s="3" t="s">
        <v>256</v>
      </c>
      <c r="C119" s="3" t="str">
        <f>MID(Tabla1[[#This Row],[CodMovilidad]],6,3)</f>
        <v>083</v>
      </c>
      <c r="D119" s="3" t="s">
        <v>51</v>
      </c>
      <c r="E119" s="4" t="s">
        <v>42</v>
      </c>
      <c r="F119" s="3">
        <v>3</v>
      </c>
      <c r="G119" s="4" t="s">
        <v>250</v>
      </c>
      <c r="H119" s="5">
        <v>1</v>
      </c>
      <c r="I119" s="6">
        <v>46082</v>
      </c>
      <c r="J119" s="6">
        <v>46109</v>
      </c>
      <c r="K119" s="7">
        <v>4</v>
      </c>
      <c r="L119" s="7">
        <v>28</v>
      </c>
      <c r="M119" s="10" t="s">
        <v>257</v>
      </c>
      <c r="N119" s="8" t="s">
        <v>52</v>
      </c>
      <c r="O119" s="9" t="s">
        <v>258</v>
      </c>
    </row>
    <row r="120" spans="1:15" ht="43.2" x14ac:dyDescent="0.3">
      <c r="A120" s="3" t="s">
        <v>96</v>
      </c>
      <c r="B120" s="3" t="s">
        <v>259</v>
      </c>
      <c r="C120" s="3" t="str">
        <f>MID(Tabla1[[#This Row],[CodMovilidad]],6,3)</f>
        <v>084</v>
      </c>
      <c r="D120" s="3" t="s">
        <v>51</v>
      </c>
      <c r="E120" s="4" t="s">
        <v>42</v>
      </c>
      <c r="F120" s="3">
        <v>3</v>
      </c>
      <c r="G120" s="4" t="s">
        <v>250</v>
      </c>
      <c r="H120" s="5">
        <v>1</v>
      </c>
      <c r="I120" s="6">
        <v>46082</v>
      </c>
      <c r="J120" s="6">
        <v>46123</v>
      </c>
      <c r="K120" s="7">
        <v>6</v>
      </c>
      <c r="L120" s="7">
        <v>42</v>
      </c>
      <c r="M120" s="10" t="s">
        <v>260</v>
      </c>
      <c r="N120" s="8" t="s">
        <v>52</v>
      </c>
      <c r="O120" s="9" t="s">
        <v>261</v>
      </c>
    </row>
    <row r="121" spans="1:15" ht="100.8" x14ac:dyDescent="0.3">
      <c r="A121" s="3" t="s">
        <v>96</v>
      </c>
      <c r="B121" s="3" t="s">
        <v>262</v>
      </c>
      <c r="C121" s="3" t="str">
        <f>MID(Tabla1[[#This Row],[CodMovilidad]],6,3)</f>
        <v>085</v>
      </c>
      <c r="D121" s="3" t="s">
        <v>51</v>
      </c>
      <c r="E121" s="4" t="s">
        <v>42</v>
      </c>
      <c r="F121" s="3">
        <v>3</v>
      </c>
      <c r="G121" s="4" t="s">
        <v>250</v>
      </c>
      <c r="H121" s="5">
        <v>1</v>
      </c>
      <c r="I121" s="6">
        <v>46082</v>
      </c>
      <c r="J121" s="6">
        <v>46123</v>
      </c>
      <c r="K121" s="7">
        <v>6</v>
      </c>
      <c r="L121" s="7">
        <v>42</v>
      </c>
      <c r="M121" s="10" t="s">
        <v>263</v>
      </c>
      <c r="N121" s="8" t="s">
        <v>52</v>
      </c>
      <c r="O121" s="9" t="s">
        <v>264</v>
      </c>
    </row>
    <row r="122" spans="1:15" ht="86.4" x14ac:dyDescent="0.3">
      <c r="A122" s="3" t="s">
        <v>96</v>
      </c>
      <c r="B122" s="3" t="s">
        <v>265</v>
      </c>
      <c r="C122" s="3" t="str">
        <f>MID(Tabla1[[#This Row],[CodMovilidad]],6,3)</f>
        <v>086</v>
      </c>
      <c r="D122" s="3" t="s">
        <v>51</v>
      </c>
      <c r="E122" s="4" t="s">
        <v>42</v>
      </c>
      <c r="F122" s="3">
        <v>3</v>
      </c>
      <c r="G122" s="4" t="s">
        <v>250</v>
      </c>
      <c r="H122" s="5">
        <v>1</v>
      </c>
      <c r="I122" s="6">
        <v>46082</v>
      </c>
      <c r="J122" s="6">
        <v>46123</v>
      </c>
      <c r="K122" s="7">
        <v>6</v>
      </c>
      <c r="L122" s="7">
        <v>42</v>
      </c>
      <c r="M122" s="10" t="s">
        <v>266</v>
      </c>
      <c r="N122" s="8" t="s">
        <v>52</v>
      </c>
      <c r="O122" s="9" t="s">
        <v>267</v>
      </c>
    </row>
    <row r="123" spans="1:15" ht="86.4" x14ac:dyDescent="0.3">
      <c r="A123" s="3" t="s">
        <v>96</v>
      </c>
      <c r="B123" s="3" t="s">
        <v>268</v>
      </c>
      <c r="C123" s="3" t="str">
        <f>MID(Tabla1[[#This Row],[CodMovilidad]],6,3)</f>
        <v>087</v>
      </c>
      <c r="D123" s="3" t="s">
        <v>51</v>
      </c>
      <c r="E123" s="4" t="s">
        <v>42</v>
      </c>
      <c r="F123" s="3">
        <v>3</v>
      </c>
      <c r="G123" s="4" t="s">
        <v>250</v>
      </c>
      <c r="H123" s="5">
        <v>1</v>
      </c>
      <c r="I123" s="6">
        <v>46082</v>
      </c>
      <c r="J123" s="6">
        <v>46123</v>
      </c>
      <c r="K123" s="7">
        <v>6</v>
      </c>
      <c r="L123" s="7">
        <v>42</v>
      </c>
      <c r="M123" s="10" t="s">
        <v>269</v>
      </c>
      <c r="N123" s="8" t="s">
        <v>52</v>
      </c>
      <c r="O123" s="9" t="s">
        <v>270</v>
      </c>
    </row>
    <row r="124" spans="1:15" ht="86.4" x14ac:dyDescent="0.3">
      <c r="A124" s="3" t="s">
        <v>96</v>
      </c>
      <c r="B124" s="3" t="s">
        <v>271</v>
      </c>
      <c r="C124" s="3" t="str">
        <f>MID(Tabla1[[#This Row],[CodMovilidad]],6,3)</f>
        <v>088</v>
      </c>
      <c r="D124" s="3" t="s">
        <v>51</v>
      </c>
      <c r="E124" s="4" t="s">
        <v>42</v>
      </c>
      <c r="F124" s="3">
        <v>3</v>
      </c>
      <c r="G124" s="4" t="s">
        <v>250</v>
      </c>
      <c r="H124" s="5">
        <v>1</v>
      </c>
      <c r="I124" s="6">
        <v>46082</v>
      </c>
      <c r="J124" s="6">
        <v>46123</v>
      </c>
      <c r="K124" s="7">
        <v>6</v>
      </c>
      <c r="L124" s="7">
        <v>42</v>
      </c>
      <c r="M124" s="10" t="s">
        <v>272</v>
      </c>
      <c r="N124" s="8" t="s">
        <v>52</v>
      </c>
      <c r="O124" s="9" t="s">
        <v>273</v>
      </c>
    </row>
    <row r="125" spans="1:15" ht="86.4" x14ac:dyDescent="0.3">
      <c r="A125" s="3" t="s">
        <v>96</v>
      </c>
      <c r="B125" s="3" t="s">
        <v>274</v>
      </c>
      <c r="C125" s="3" t="str">
        <f>MID(Tabla1[[#This Row],[CodMovilidad]],6,3)</f>
        <v>089</v>
      </c>
      <c r="D125" s="3" t="s">
        <v>51</v>
      </c>
      <c r="E125" s="4" t="s">
        <v>42</v>
      </c>
      <c r="F125" s="3">
        <v>3</v>
      </c>
      <c r="G125" s="4" t="s">
        <v>250</v>
      </c>
      <c r="H125" s="5">
        <v>1</v>
      </c>
      <c r="I125" s="6">
        <v>46103</v>
      </c>
      <c r="J125" s="6">
        <v>46144</v>
      </c>
      <c r="K125" s="7">
        <v>6</v>
      </c>
      <c r="L125" s="7">
        <v>42</v>
      </c>
      <c r="M125" s="10" t="s">
        <v>275</v>
      </c>
      <c r="N125" s="8" t="s">
        <v>52</v>
      </c>
      <c r="O125" s="9" t="s">
        <v>276</v>
      </c>
    </row>
    <row r="126" spans="1:15" ht="86.4" x14ac:dyDescent="0.3">
      <c r="A126" s="3" t="s">
        <v>96</v>
      </c>
      <c r="B126" s="3" t="s">
        <v>277</v>
      </c>
      <c r="C126" s="3" t="str">
        <f>MID(Tabla1[[#This Row],[CodMovilidad]],6,3)</f>
        <v>090</v>
      </c>
      <c r="D126" s="3" t="s">
        <v>51</v>
      </c>
      <c r="E126" s="4" t="s">
        <v>42</v>
      </c>
      <c r="F126" s="3">
        <v>3</v>
      </c>
      <c r="G126" s="4" t="s">
        <v>250</v>
      </c>
      <c r="H126" s="5">
        <v>1</v>
      </c>
      <c r="I126" s="6">
        <v>46103</v>
      </c>
      <c r="J126" s="6">
        <v>46144</v>
      </c>
      <c r="K126" s="7">
        <v>6</v>
      </c>
      <c r="L126" s="7">
        <v>42</v>
      </c>
      <c r="M126" s="10" t="s">
        <v>278</v>
      </c>
      <c r="N126" s="8" t="s">
        <v>52</v>
      </c>
      <c r="O126" s="9" t="s">
        <v>279</v>
      </c>
    </row>
    <row r="127" spans="1:15" ht="86.4" x14ac:dyDescent="0.3">
      <c r="A127" s="3" t="s">
        <v>96</v>
      </c>
      <c r="B127" s="3" t="s">
        <v>280</v>
      </c>
      <c r="C127" s="3" t="str">
        <f>MID(Tabla1[[#This Row],[CodMovilidad]],6,3)</f>
        <v>091</v>
      </c>
      <c r="D127" s="3" t="s">
        <v>51</v>
      </c>
      <c r="E127" s="4" t="s">
        <v>42</v>
      </c>
      <c r="F127" s="3">
        <v>3</v>
      </c>
      <c r="G127" s="4" t="s">
        <v>250</v>
      </c>
      <c r="H127" s="5">
        <v>1</v>
      </c>
      <c r="I127" s="6">
        <v>46103</v>
      </c>
      <c r="J127" s="6">
        <v>46144</v>
      </c>
      <c r="K127" s="7">
        <v>6</v>
      </c>
      <c r="L127" s="7">
        <v>42</v>
      </c>
      <c r="M127" s="10" t="s">
        <v>281</v>
      </c>
      <c r="N127" s="8" t="s">
        <v>52</v>
      </c>
      <c r="O127" s="9" t="s">
        <v>282</v>
      </c>
    </row>
    <row r="128" spans="1:15" ht="100.8" x14ac:dyDescent="0.3">
      <c r="A128" s="3" t="s">
        <v>96</v>
      </c>
      <c r="B128" s="3" t="s">
        <v>283</v>
      </c>
      <c r="C128" s="3" t="str">
        <f>MID(Tabla1[[#This Row],[CodMovilidad]],6,3)</f>
        <v>092</v>
      </c>
      <c r="D128" s="3" t="s">
        <v>51</v>
      </c>
      <c r="E128" s="4" t="s">
        <v>42</v>
      </c>
      <c r="F128" s="3">
        <v>3</v>
      </c>
      <c r="G128" s="4" t="s">
        <v>250</v>
      </c>
      <c r="H128" s="5">
        <v>1</v>
      </c>
      <c r="I128" s="6">
        <v>46103</v>
      </c>
      <c r="J128" s="6">
        <v>46144</v>
      </c>
      <c r="K128" s="7">
        <v>6</v>
      </c>
      <c r="L128" s="7">
        <v>42</v>
      </c>
      <c r="M128" s="10" t="s">
        <v>284</v>
      </c>
      <c r="N128" s="8" t="s">
        <v>52</v>
      </c>
      <c r="O128" s="9" t="s">
        <v>285</v>
      </c>
    </row>
    <row r="129" spans="1:15" ht="57.6" x14ac:dyDescent="0.3">
      <c r="A129" s="3" t="s">
        <v>96</v>
      </c>
      <c r="B129" s="3" t="s">
        <v>286</v>
      </c>
      <c r="C129" s="3" t="str">
        <f>MID(Tabla1[[#This Row],[CodMovilidad]],6,3)</f>
        <v>093</v>
      </c>
      <c r="D129" s="3" t="s">
        <v>51</v>
      </c>
      <c r="E129" s="4" t="s">
        <v>42</v>
      </c>
      <c r="F129" s="3">
        <v>3</v>
      </c>
      <c r="G129" s="4" t="s">
        <v>250</v>
      </c>
      <c r="H129" s="5">
        <v>1</v>
      </c>
      <c r="I129" s="6">
        <v>46103</v>
      </c>
      <c r="J129" s="6">
        <v>46144</v>
      </c>
      <c r="K129" s="7">
        <v>6</v>
      </c>
      <c r="L129" s="7">
        <v>42</v>
      </c>
      <c r="M129" s="10" t="s">
        <v>287</v>
      </c>
      <c r="N129" s="8" t="s">
        <v>52</v>
      </c>
      <c r="O129" s="9" t="s">
        <v>288</v>
      </c>
    </row>
    <row r="130" spans="1:15" ht="86.4" x14ac:dyDescent="0.3">
      <c r="A130" s="3" t="s">
        <v>96</v>
      </c>
      <c r="B130" s="3" t="s">
        <v>289</v>
      </c>
      <c r="C130" s="3" t="str">
        <f>MID(Tabla1[[#This Row],[CodMovilidad]],6,3)</f>
        <v>094</v>
      </c>
      <c r="D130" s="3" t="s">
        <v>51</v>
      </c>
      <c r="E130" s="4" t="s">
        <v>42</v>
      </c>
      <c r="F130" s="3">
        <v>3</v>
      </c>
      <c r="G130" s="4" t="s">
        <v>250</v>
      </c>
      <c r="H130" s="5">
        <v>1</v>
      </c>
      <c r="I130" s="6">
        <v>46124</v>
      </c>
      <c r="J130" s="6">
        <v>46165</v>
      </c>
      <c r="K130" s="7">
        <v>6</v>
      </c>
      <c r="L130" s="7">
        <v>42</v>
      </c>
      <c r="M130" s="10" t="s">
        <v>290</v>
      </c>
      <c r="N130" s="8" t="s">
        <v>52</v>
      </c>
      <c r="O130" s="9" t="s">
        <v>291</v>
      </c>
    </row>
    <row r="131" spans="1:15" ht="57.6" x14ac:dyDescent="0.3">
      <c r="A131" s="3" t="s">
        <v>96</v>
      </c>
      <c r="B131" s="3" t="s">
        <v>292</v>
      </c>
      <c r="C131" s="3" t="str">
        <f>MID(Tabla1[[#This Row],[CodMovilidad]],6,3)</f>
        <v>095</v>
      </c>
      <c r="D131" s="3" t="s">
        <v>51</v>
      </c>
      <c r="E131" s="4" t="s">
        <v>42</v>
      </c>
      <c r="F131" s="3">
        <v>3</v>
      </c>
      <c r="G131" s="4" t="s">
        <v>250</v>
      </c>
      <c r="H131" s="5">
        <v>1</v>
      </c>
      <c r="I131" s="6">
        <v>46124</v>
      </c>
      <c r="J131" s="6">
        <v>46165</v>
      </c>
      <c r="K131" s="7">
        <v>6</v>
      </c>
      <c r="L131" s="7">
        <v>42</v>
      </c>
      <c r="M131" s="10" t="s">
        <v>293</v>
      </c>
      <c r="N131" s="8" t="s">
        <v>52</v>
      </c>
      <c r="O131" s="9" t="s">
        <v>294</v>
      </c>
    </row>
    <row r="132" spans="1:15" ht="86.4" x14ac:dyDescent="0.3">
      <c r="A132" s="3" t="s">
        <v>96</v>
      </c>
      <c r="B132" s="3" t="s">
        <v>295</v>
      </c>
      <c r="C132" s="3" t="str">
        <f>MID(Tabla1[[#This Row],[CodMovilidad]],6,3)</f>
        <v>096</v>
      </c>
      <c r="D132" s="3" t="s">
        <v>51</v>
      </c>
      <c r="E132" s="4" t="s">
        <v>42</v>
      </c>
      <c r="F132" s="3">
        <v>3</v>
      </c>
      <c r="G132" s="4" t="s">
        <v>250</v>
      </c>
      <c r="H132" s="5">
        <v>1</v>
      </c>
      <c r="I132" s="6">
        <v>46124</v>
      </c>
      <c r="J132" s="6">
        <v>46165</v>
      </c>
      <c r="K132" s="7">
        <v>6</v>
      </c>
      <c r="L132" s="7">
        <v>42</v>
      </c>
      <c r="M132" s="10" t="s">
        <v>296</v>
      </c>
      <c r="N132" s="8" t="s">
        <v>52</v>
      </c>
      <c r="O132" s="9" t="s">
        <v>297</v>
      </c>
    </row>
    <row r="133" spans="1:15" ht="86.4" x14ac:dyDescent="0.3">
      <c r="A133" s="3" t="s">
        <v>96</v>
      </c>
      <c r="B133" s="3" t="s">
        <v>298</v>
      </c>
      <c r="C133" s="3" t="str">
        <f>MID(Tabla1[[#This Row],[CodMovilidad]],6,3)</f>
        <v>097</v>
      </c>
      <c r="D133" s="3" t="s">
        <v>51</v>
      </c>
      <c r="E133" s="4" t="s">
        <v>42</v>
      </c>
      <c r="F133" s="3">
        <v>3</v>
      </c>
      <c r="G133" s="4" t="s">
        <v>250</v>
      </c>
      <c r="H133" s="5">
        <v>1</v>
      </c>
      <c r="I133" s="6">
        <v>46124</v>
      </c>
      <c r="J133" s="6">
        <v>46165</v>
      </c>
      <c r="K133" s="7">
        <v>6</v>
      </c>
      <c r="L133" s="7">
        <v>42</v>
      </c>
      <c r="M133" s="10" t="s">
        <v>299</v>
      </c>
      <c r="N133" s="8" t="s">
        <v>52</v>
      </c>
      <c r="O133" s="9" t="s">
        <v>300</v>
      </c>
    </row>
    <row r="134" spans="1:15" ht="72" x14ac:dyDescent="0.3">
      <c r="A134" s="3" t="s">
        <v>96</v>
      </c>
      <c r="B134" s="3" t="s">
        <v>301</v>
      </c>
      <c r="C134" s="3" t="str">
        <f>MID(Tabla1[[#This Row],[CodMovilidad]],6,3)</f>
        <v>098</v>
      </c>
      <c r="D134" s="3" t="s">
        <v>51</v>
      </c>
      <c r="E134" s="4" t="s">
        <v>42</v>
      </c>
      <c r="F134" s="3">
        <v>3</v>
      </c>
      <c r="G134" s="4" t="s">
        <v>250</v>
      </c>
      <c r="H134" s="5">
        <v>1</v>
      </c>
      <c r="I134" s="6">
        <v>46145</v>
      </c>
      <c r="J134" s="6">
        <v>46186</v>
      </c>
      <c r="K134" s="7">
        <v>6</v>
      </c>
      <c r="L134" s="7">
        <v>42</v>
      </c>
      <c r="M134" s="10" t="s">
        <v>302</v>
      </c>
      <c r="N134" s="8" t="s">
        <v>52</v>
      </c>
      <c r="O134" s="9" t="s">
        <v>303</v>
      </c>
    </row>
    <row r="135" spans="1:15" ht="72" x14ac:dyDescent="0.3">
      <c r="A135" s="3" t="s">
        <v>96</v>
      </c>
      <c r="B135" s="3" t="s">
        <v>304</v>
      </c>
      <c r="C135" s="3" t="str">
        <f>MID(Tabla1[[#This Row],[CodMovilidad]],6,3)</f>
        <v>099</v>
      </c>
      <c r="D135" s="3" t="s">
        <v>51</v>
      </c>
      <c r="E135" s="4" t="s">
        <v>42</v>
      </c>
      <c r="F135" s="3">
        <v>3</v>
      </c>
      <c r="G135" s="4" t="s">
        <v>250</v>
      </c>
      <c r="H135" s="5">
        <v>1</v>
      </c>
      <c r="I135" s="6">
        <v>46145</v>
      </c>
      <c r="J135" s="6">
        <v>46186</v>
      </c>
      <c r="K135" s="7">
        <v>6</v>
      </c>
      <c r="L135" s="7">
        <v>42</v>
      </c>
      <c r="M135" s="10" t="s">
        <v>305</v>
      </c>
      <c r="N135" s="8" t="s">
        <v>52</v>
      </c>
      <c r="O135" s="9" t="s">
        <v>306</v>
      </c>
    </row>
    <row r="136" spans="1:15" ht="100.8" x14ac:dyDescent="0.3">
      <c r="A136" s="3" t="s">
        <v>96</v>
      </c>
      <c r="B136" s="3" t="s">
        <v>307</v>
      </c>
      <c r="C136" s="3" t="str">
        <f>MID(Tabla1[[#This Row],[CodMovilidad]],6,3)</f>
        <v>100</v>
      </c>
      <c r="D136" s="3" t="s">
        <v>51</v>
      </c>
      <c r="E136" s="4" t="s">
        <v>42</v>
      </c>
      <c r="F136" s="3">
        <v>3</v>
      </c>
      <c r="G136" s="4" t="s">
        <v>250</v>
      </c>
      <c r="H136" s="5">
        <v>1</v>
      </c>
      <c r="I136" s="6">
        <v>46145</v>
      </c>
      <c r="J136" s="6">
        <v>46186</v>
      </c>
      <c r="K136" s="7">
        <v>6</v>
      </c>
      <c r="L136" s="7">
        <v>42</v>
      </c>
      <c r="M136" s="10" t="s">
        <v>308</v>
      </c>
      <c r="N136" s="8" t="s">
        <v>52</v>
      </c>
      <c r="O136" s="9" t="s">
        <v>309</v>
      </c>
    </row>
    <row r="137" spans="1:15" ht="100.8" x14ac:dyDescent="0.3">
      <c r="A137" s="3" t="s">
        <v>96</v>
      </c>
      <c r="B137" s="3" t="s">
        <v>310</v>
      </c>
      <c r="C137" s="3" t="str">
        <f>MID(Tabla1[[#This Row],[CodMovilidad]],6,3)</f>
        <v>101</v>
      </c>
      <c r="D137" s="3" t="s">
        <v>51</v>
      </c>
      <c r="E137" s="4" t="s">
        <v>42</v>
      </c>
      <c r="F137" s="3">
        <v>3</v>
      </c>
      <c r="G137" s="4" t="s">
        <v>250</v>
      </c>
      <c r="H137" s="5">
        <v>1</v>
      </c>
      <c r="I137" s="6">
        <v>46145</v>
      </c>
      <c r="J137" s="6">
        <v>46186</v>
      </c>
      <c r="K137" s="7">
        <v>6</v>
      </c>
      <c r="L137" s="7">
        <v>42</v>
      </c>
      <c r="M137" s="10" t="s">
        <v>311</v>
      </c>
      <c r="N137" s="8" t="s">
        <v>52</v>
      </c>
      <c r="O137" s="9" t="s">
        <v>312</v>
      </c>
    </row>
    <row r="138" spans="1:15" ht="72" x14ac:dyDescent="0.3">
      <c r="A138" s="3" t="s">
        <v>96</v>
      </c>
      <c r="B138" s="3" t="s">
        <v>313</v>
      </c>
      <c r="C138" s="3" t="str">
        <f>MID(Tabla1[[#This Row],[CodMovilidad]],6,3)</f>
        <v>102</v>
      </c>
      <c r="D138" s="3" t="s">
        <v>51</v>
      </c>
      <c r="E138" s="4" t="s">
        <v>42</v>
      </c>
      <c r="F138" s="3">
        <v>3</v>
      </c>
      <c r="G138" s="4" t="s">
        <v>250</v>
      </c>
      <c r="H138" s="5">
        <v>1</v>
      </c>
      <c r="I138" s="6">
        <v>46110</v>
      </c>
      <c r="J138" s="6">
        <v>46137</v>
      </c>
      <c r="K138" s="7">
        <v>4</v>
      </c>
      <c r="L138" s="7">
        <v>28</v>
      </c>
      <c r="M138" s="10" t="s">
        <v>251</v>
      </c>
      <c r="N138" s="8" t="s">
        <v>52</v>
      </c>
      <c r="O138" s="9" t="s">
        <v>252</v>
      </c>
    </row>
    <row r="139" spans="1:15" ht="100.8" x14ac:dyDescent="0.3">
      <c r="A139" s="3" t="s">
        <v>96</v>
      </c>
      <c r="B139" s="3" t="s">
        <v>314</v>
      </c>
      <c r="C139" s="3" t="str">
        <f>MID(Tabla1[[#This Row],[CodMovilidad]],6,3)</f>
        <v>103</v>
      </c>
      <c r="D139" s="3" t="s">
        <v>51</v>
      </c>
      <c r="E139" s="4" t="s">
        <v>42</v>
      </c>
      <c r="F139" s="3">
        <v>3</v>
      </c>
      <c r="G139" s="4" t="s">
        <v>250</v>
      </c>
      <c r="H139" s="5">
        <v>1</v>
      </c>
      <c r="I139" s="6">
        <v>46110</v>
      </c>
      <c r="J139" s="6">
        <v>46137</v>
      </c>
      <c r="K139" s="7">
        <v>4</v>
      </c>
      <c r="L139" s="7">
        <v>28</v>
      </c>
      <c r="M139" s="10" t="s">
        <v>254</v>
      </c>
      <c r="N139" s="8" t="s">
        <v>52</v>
      </c>
      <c r="O139" s="9" t="s">
        <v>255</v>
      </c>
    </row>
    <row r="140" spans="1:15" ht="100.8" x14ac:dyDescent="0.3">
      <c r="A140" s="3" t="s">
        <v>96</v>
      </c>
      <c r="B140" s="3" t="s">
        <v>315</v>
      </c>
      <c r="C140" s="3" t="str">
        <f>MID(Tabla1[[#This Row],[CodMovilidad]],6,3)</f>
        <v>104</v>
      </c>
      <c r="D140" s="3" t="s">
        <v>51</v>
      </c>
      <c r="E140" s="4" t="s">
        <v>42</v>
      </c>
      <c r="F140" s="3">
        <v>3</v>
      </c>
      <c r="G140" s="4" t="s">
        <v>250</v>
      </c>
      <c r="H140" s="5">
        <v>1</v>
      </c>
      <c r="I140" s="6">
        <v>46110</v>
      </c>
      <c r="J140" s="6">
        <v>46137</v>
      </c>
      <c r="K140" s="7">
        <v>4</v>
      </c>
      <c r="L140" s="7">
        <v>28</v>
      </c>
      <c r="M140" s="10" t="s">
        <v>257</v>
      </c>
      <c r="N140" s="8" t="s">
        <v>52</v>
      </c>
      <c r="O140" s="9" t="s">
        <v>258</v>
      </c>
    </row>
    <row r="141" spans="1:15" ht="72" x14ac:dyDescent="0.3">
      <c r="A141" s="3" t="s">
        <v>96</v>
      </c>
      <c r="B141" s="3" t="s">
        <v>316</v>
      </c>
      <c r="C141" s="3" t="str">
        <f>MID(Tabla1[[#This Row],[CodMovilidad]],6,3)</f>
        <v>105</v>
      </c>
      <c r="D141" s="3" t="s">
        <v>51</v>
      </c>
      <c r="E141" s="4" t="s">
        <v>42</v>
      </c>
      <c r="F141" s="3">
        <v>3</v>
      </c>
      <c r="G141" s="4" t="s">
        <v>250</v>
      </c>
      <c r="H141" s="5">
        <v>1</v>
      </c>
      <c r="I141" s="6">
        <v>46138</v>
      </c>
      <c r="J141" s="6">
        <v>46165</v>
      </c>
      <c r="K141" s="7">
        <v>4</v>
      </c>
      <c r="L141" s="7">
        <v>28</v>
      </c>
      <c r="M141" s="10" t="s">
        <v>251</v>
      </c>
      <c r="N141" s="8" t="s">
        <v>52</v>
      </c>
      <c r="O141" s="9" t="s">
        <v>252</v>
      </c>
    </row>
    <row r="142" spans="1:15" ht="100.8" x14ac:dyDescent="0.3">
      <c r="A142" s="3" t="s">
        <v>96</v>
      </c>
      <c r="B142" s="3" t="s">
        <v>317</v>
      </c>
      <c r="C142" s="3" t="str">
        <f>MID(Tabla1[[#This Row],[CodMovilidad]],6,3)</f>
        <v>106</v>
      </c>
      <c r="D142" s="3" t="s">
        <v>51</v>
      </c>
      <c r="E142" s="4" t="s">
        <v>42</v>
      </c>
      <c r="F142" s="3">
        <v>3</v>
      </c>
      <c r="G142" s="4" t="s">
        <v>250</v>
      </c>
      <c r="H142" s="5">
        <v>1</v>
      </c>
      <c r="I142" s="6">
        <v>46138</v>
      </c>
      <c r="J142" s="6">
        <v>46165</v>
      </c>
      <c r="K142" s="7">
        <v>4</v>
      </c>
      <c r="L142" s="7">
        <v>28</v>
      </c>
      <c r="M142" s="10" t="s">
        <v>254</v>
      </c>
      <c r="N142" s="8" t="s">
        <v>52</v>
      </c>
      <c r="O142" s="9" t="s">
        <v>255</v>
      </c>
    </row>
    <row r="143" spans="1:15" ht="100.8" x14ac:dyDescent="0.3">
      <c r="A143" s="3" t="s">
        <v>96</v>
      </c>
      <c r="B143" s="3" t="s">
        <v>318</v>
      </c>
      <c r="C143" s="3" t="str">
        <f>MID(Tabla1[[#This Row],[CodMovilidad]],6,3)</f>
        <v>107</v>
      </c>
      <c r="D143" s="3" t="s">
        <v>51</v>
      </c>
      <c r="E143" s="4" t="s">
        <v>42</v>
      </c>
      <c r="F143" s="3">
        <v>3</v>
      </c>
      <c r="G143" s="4" t="s">
        <v>250</v>
      </c>
      <c r="H143" s="5">
        <v>1</v>
      </c>
      <c r="I143" s="6">
        <v>46138</v>
      </c>
      <c r="J143" s="6">
        <v>46165</v>
      </c>
      <c r="K143" s="7">
        <v>4</v>
      </c>
      <c r="L143" s="7">
        <v>28</v>
      </c>
      <c r="M143" s="10" t="s">
        <v>257</v>
      </c>
      <c r="N143" s="8" t="s">
        <v>52</v>
      </c>
      <c r="O143" s="9" t="s">
        <v>258</v>
      </c>
    </row>
    <row r="144" spans="1:15" ht="86.4" x14ac:dyDescent="0.3">
      <c r="A144" s="3" t="s">
        <v>96</v>
      </c>
      <c r="B144" s="3" t="s">
        <v>319</v>
      </c>
      <c r="C144" s="3" t="str">
        <f>MID(Tabla1[[#This Row],[CodMovilidad]],6,3)</f>
        <v>108</v>
      </c>
      <c r="D144" s="3" t="s">
        <v>51</v>
      </c>
      <c r="E144" s="4" t="s">
        <v>42</v>
      </c>
      <c r="F144" s="3">
        <v>3</v>
      </c>
      <c r="G144" s="4" t="s">
        <v>250</v>
      </c>
      <c r="H144" s="5">
        <v>1</v>
      </c>
      <c r="I144" s="6">
        <v>46159</v>
      </c>
      <c r="J144" s="6">
        <v>46200</v>
      </c>
      <c r="K144" s="7">
        <v>6</v>
      </c>
      <c r="L144" s="7">
        <v>42</v>
      </c>
      <c r="M144" s="10" t="s">
        <v>275</v>
      </c>
      <c r="N144" s="8" t="s">
        <v>52</v>
      </c>
      <c r="O144" s="9" t="s">
        <v>276</v>
      </c>
    </row>
    <row r="145" spans="1:15" ht="86.4" x14ac:dyDescent="0.3">
      <c r="A145" s="3" t="s">
        <v>96</v>
      </c>
      <c r="B145" s="3" t="s">
        <v>320</v>
      </c>
      <c r="C145" s="3" t="str">
        <f>MID(Tabla1[[#This Row],[CodMovilidad]],6,3)</f>
        <v>109</v>
      </c>
      <c r="D145" s="3" t="s">
        <v>51</v>
      </c>
      <c r="E145" s="4" t="s">
        <v>42</v>
      </c>
      <c r="F145" s="3">
        <v>3</v>
      </c>
      <c r="G145" s="4" t="s">
        <v>250</v>
      </c>
      <c r="H145" s="5">
        <v>1</v>
      </c>
      <c r="I145" s="6">
        <v>46159</v>
      </c>
      <c r="J145" s="6">
        <v>46200</v>
      </c>
      <c r="K145" s="7">
        <v>6</v>
      </c>
      <c r="L145" s="7">
        <v>42</v>
      </c>
      <c r="M145" s="10" t="s">
        <v>278</v>
      </c>
      <c r="N145" s="8" t="s">
        <v>52</v>
      </c>
      <c r="O145" s="9" t="s">
        <v>279</v>
      </c>
    </row>
    <row r="146" spans="1:15" ht="86.4" x14ac:dyDescent="0.3">
      <c r="A146" s="3" t="s">
        <v>96</v>
      </c>
      <c r="B146" s="3" t="s">
        <v>321</v>
      </c>
      <c r="C146" s="3" t="str">
        <f>MID(Tabla1[[#This Row],[CodMovilidad]],6,3)</f>
        <v>110</v>
      </c>
      <c r="D146" s="3" t="s">
        <v>51</v>
      </c>
      <c r="E146" s="4" t="s">
        <v>42</v>
      </c>
      <c r="F146" s="3">
        <v>3</v>
      </c>
      <c r="G146" s="4" t="s">
        <v>250</v>
      </c>
      <c r="H146" s="5">
        <v>1</v>
      </c>
      <c r="I146" s="6">
        <v>46159</v>
      </c>
      <c r="J146" s="6">
        <v>46200</v>
      </c>
      <c r="K146" s="7">
        <v>6</v>
      </c>
      <c r="L146" s="7">
        <v>42</v>
      </c>
      <c r="M146" s="10" t="s">
        <v>281</v>
      </c>
      <c r="N146" s="8" t="s">
        <v>52</v>
      </c>
      <c r="O146" s="9" t="s">
        <v>282</v>
      </c>
    </row>
    <row r="147" spans="1:15" ht="100.8" x14ac:dyDescent="0.3">
      <c r="A147" s="3" t="s">
        <v>96</v>
      </c>
      <c r="B147" s="3" t="s">
        <v>322</v>
      </c>
      <c r="C147" s="3" t="str">
        <f>MID(Tabla1[[#This Row],[CodMovilidad]],6,3)</f>
        <v>111</v>
      </c>
      <c r="D147" s="3" t="s">
        <v>51</v>
      </c>
      <c r="E147" s="4" t="s">
        <v>42</v>
      </c>
      <c r="F147" s="3">
        <v>3</v>
      </c>
      <c r="G147" s="4" t="s">
        <v>250</v>
      </c>
      <c r="H147" s="5">
        <v>1</v>
      </c>
      <c r="I147" s="6">
        <v>46159</v>
      </c>
      <c r="J147" s="6">
        <v>46200</v>
      </c>
      <c r="K147" s="7">
        <v>6</v>
      </c>
      <c r="L147" s="7">
        <v>42</v>
      </c>
      <c r="M147" s="10" t="s">
        <v>284</v>
      </c>
      <c r="N147" s="8" t="s">
        <v>52</v>
      </c>
      <c r="O147" s="9" t="s">
        <v>285</v>
      </c>
    </row>
    <row r="148" spans="1:15" ht="57.6" x14ac:dyDescent="0.3">
      <c r="A148" s="3" t="s">
        <v>96</v>
      </c>
      <c r="B148" s="3" t="s">
        <v>323</v>
      </c>
      <c r="C148" s="3" t="str">
        <f>MID(Tabla1[[#This Row],[CodMovilidad]],6,3)</f>
        <v>112</v>
      </c>
      <c r="D148" s="3" t="s">
        <v>51</v>
      </c>
      <c r="E148" s="4" t="s">
        <v>42</v>
      </c>
      <c r="F148" s="3">
        <v>3</v>
      </c>
      <c r="G148" s="4" t="s">
        <v>250</v>
      </c>
      <c r="H148" s="5">
        <v>1</v>
      </c>
      <c r="I148" s="6">
        <v>46159</v>
      </c>
      <c r="J148" s="6">
        <v>46200</v>
      </c>
      <c r="K148" s="7">
        <v>6</v>
      </c>
      <c r="L148" s="7">
        <v>42</v>
      </c>
      <c r="M148" s="10" t="s">
        <v>287</v>
      </c>
      <c r="N148" s="8" t="s">
        <v>52</v>
      </c>
      <c r="O148" s="9" t="s">
        <v>288</v>
      </c>
    </row>
    <row r="149" spans="1:15" ht="72" x14ac:dyDescent="0.3">
      <c r="A149" s="3" t="s">
        <v>96</v>
      </c>
      <c r="B149" s="3" t="s">
        <v>324</v>
      </c>
      <c r="C149" s="3" t="str">
        <f>MID(Tabla1[[#This Row],[CodMovilidad]],6,3)</f>
        <v>113</v>
      </c>
      <c r="D149" s="3" t="s">
        <v>51</v>
      </c>
      <c r="E149" s="4" t="s">
        <v>42</v>
      </c>
      <c r="F149" s="3">
        <v>3</v>
      </c>
      <c r="G149" s="4" t="s">
        <v>250</v>
      </c>
      <c r="H149" s="5">
        <v>1</v>
      </c>
      <c r="I149" s="6">
        <v>46173</v>
      </c>
      <c r="J149" s="6">
        <v>46200</v>
      </c>
      <c r="K149" s="7">
        <v>4</v>
      </c>
      <c r="L149" s="7">
        <v>28</v>
      </c>
      <c r="M149" s="10" t="s">
        <v>251</v>
      </c>
      <c r="N149" s="8" t="s">
        <v>52</v>
      </c>
      <c r="O149" s="9" t="s">
        <v>252</v>
      </c>
    </row>
    <row r="150" spans="1:15" ht="100.8" x14ac:dyDescent="0.3">
      <c r="A150" s="3" t="s">
        <v>96</v>
      </c>
      <c r="B150" s="3" t="s">
        <v>325</v>
      </c>
      <c r="C150" s="3" t="str">
        <f>MID(Tabla1[[#This Row],[CodMovilidad]],6,3)</f>
        <v>114</v>
      </c>
      <c r="D150" s="3" t="s">
        <v>51</v>
      </c>
      <c r="E150" s="4" t="s">
        <v>42</v>
      </c>
      <c r="F150" s="3">
        <v>3</v>
      </c>
      <c r="G150" s="4" t="s">
        <v>250</v>
      </c>
      <c r="H150" s="5">
        <v>1</v>
      </c>
      <c r="I150" s="6">
        <v>46173</v>
      </c>
      <c r="J150" s="6">
        <v>46200</v>
      </c>
      <c r="K150" s="7">
        <v>4</v>
      </c>
      <c r="L150" s="7">
        <v>28</v>
      </c>
      <c r="M150" s="10" t="s">
        <v>254</v>
      </c>
      <c r="N150" s="8" t="s">
        <v>52</v>
      </c>
      <c r="O150" s="9" t="s">
        <v>255</v>
      </c>
    </row>
    <row r="151" spans="1:15" ht="100.8" x14ac:dyDescent="0.3">
      <c r="A151" s="3" t="s">
        <v>96</v>
      </c>
      <c r="B151" s="3" t="s">
        <v>326</v>
      </c>
      <c r="C151" s="3" t="str">
        <f>MID(Tabla1[[#This Row],[CodMovilidad]],6,3)</f>
        <v>115</v>
      </c>
      <c r="D151" s="3" t="s">
        <v>51</v>
      </c>
      <c r="E151" s="4" t="s">
        <v>42</v>
      </c>
      <c r="F151" s="3">
        <v>3</v>
      </c>
      <c r="G151" s="4" t="s">
        <v>250</v>
      </c>
      <c r="H151" s="5">
        <v>1</v>
      </c>
      <c r="I151" s="6">
        <v>46173</v>
      </c>
      <c r="J151" s="6">
        <v>46200</v>
      </c>
      <c r="K151" s="7">
        <v>4</v>
      </c>
      <c r="L151" s="7">
        <v>28</v>
      </c>
      <c r="M151" s="10" t="s">
        <v>257</v>
      </c>
      <c r="N151" s="8" t="s">
        <v>52</v>
      </c>
      <c r="O151" s="9" t="s">
        <v>258</v>
      </c>
    </row>
    <row r="152" spans="1:15" ht="86.4" x14ac:dyDescent="0.3">
      <c r="A152" s="3" t="s">
        <v>96</v>
      </c>
      <c r="B152" s="3" t="s">
        <v>327</v>
      </c>
      <c r="C152" s="3" t="str">
        <f>MID(Tabla1[[#This Row],[CodMovilidad]],6,3)</f>
        <v>116</v>
      </c>
      <c r="D152" s="3" t="s">
        <v>51</v>
      </c>
      <c r="E152" s="4" t="s">
        <v>42</v>
      </c>
      <c r="F152" s="3">
        <v>3</v>
      </c>
      <c r="G152" s="4" t="s">
        <v>250</v>
      </c>
      <c r="H152" s="5">
        <v>1</v>
      </c>
      <c r="I152" s="6">
        <v>46082</v>
      </c>
      <c r="J152" s="6">
        <v>46109</v>
      </c>
      <c r="K152" s="7">
        <v>4</v>
      </c>
      <c r="L152" s="7">
        <v>28</v>
      </c>
      <c r="M152" s="10" t="s">
        <v>290</v>
      </c>
      <c r="N152" s="8" t="s">
        <v>52</v>
      </c>
      <c r="O152" s="9" t="s">
        <v>291</v>
      </c>
    </row>
    <row r="153" spans="1:15" ht="57.6" x14ac:dyDescent="0.3">
      <c r="A153" s="3" t="s">
        <v>96</v>
      </c>
      <c r="B153" s="3" t="s">
        <v>328</v>
      </c>
      <c r="C153" s="3" t="str">
        <f>MID(Tabla1[[#This Row],[CodMovilidad]],6,3)</f>
        <v>117</v>
      </c>
      <c r="D153" s="3" t="s">
        <v>51</v>
      </c>
      <c r="E153" s="4" t="s">
        <v>42</v>
      </c>
      <c r="F153" s="3">
        <v>3</v>
      </c>
      <c r="G153" s="4" t="s">
        <v>250</v>
      </c>
      <c r="H153" s="5">
        <v>1</v>
      </c>
      <c r="I153" s="6">
        <v>46082</v>
      </c>
      <c r="J153" s="6">
        <v>46109</v>
      </c>
      <c r="K153" s="7">
        <v>4</v>
      </c>
      <c r="L153" s="7">
        <v>28</v>
      </c>
      <c r="M153" s="10" t="s">
        <v>293</v>
      </c>
      <c r="N153" s="8" t="s">
        <v>52</v>
      </c>
      <c r="O153" s="9" t="s">
        <v>294</v>
      </c>
    </row>
    <row r="154" spans="1:15" ht="86.4" x14ac:dyDescent="0.3">
      <c r="A154" s="3" t="s">
        <v>96</v>
      </c>
      <c r="B154" s="3" t="s">
        <v>329</v>
      </c>
      <c r="C154" s="3" t="str">
        <f>MID(Tabla1[[#This Row],[CodMovilidad]],6,3)</f>
        <v>118</v>
      </c>
      <c r="D154" s="3" t="s">
        <v>51</v>
      </c>
      <c r="E154" s="4" t="s">
        <v>42</v>
      </c>
      <c r="F154" s="3">
        <v>3</v>
      </c>
      <c r="G154" s="4" t="s">
        <v>250</v>
      </c>
      <c r="H154" s="5">
        <v>1</v>
      </c>
      <c r="I154" s="6">
        <v>46082</v>
      </c>
      <c r="J154" s="6">
        <v>46109</v>
      </c>
      <c r="K154" s="7">
        <v>4</v>
      </c>
      <c r="L154" s="7">
        <v>28</v>
      </c>
      <c r="M154" s="10" t="s">
        <v>296</v>
      </c>
      <c r="N154" s="8" t="s">
        <v>52</v>
      </c>
      <c r="O154" s="9" t="s">
        <v>297</v>
      </c>
    </row>
    <row r="155" spans="1:15" ht="86.4" x14ac:dyDescent="0.3">
      <c r="A155" s="3" t="s">
        <v>96</v>
      </c>
      <c r="B155" s="3" t="s">
        <v>330</v>
      </c>
      <c r="C155" s="3" t="str">
        <f>MID(Tabla1[[#This Row],[CodMovilidad]],6,3)</f>
        <v>119</v>
      </c>
      <c r="D155" s="3" t="s">
        <v>51</v>
      </c>
      <c r="E155" s="4" t="s">
        <v>42</v>
      </c>
      <c r="F155" s="3">
        <v>3</v>
      </c>
      <c r="G155" s="4" t="s">
        <v>250</v>
      </c>
      <c r="H155" s="5">
        <v>1</v>
      </c>
      <c r="I155" s="6">
        <v>46082</v>
      </c>
      <c r="J155" s="6">
        <v>46109</v>
      </c>
      <c r="K155" s="7">
        <v>4</v>
      </c>
      <c r="L155" s="7">
        <v>28</v>
      </c>
      <c r="M155" s="10" t="s">
        <v>299</v>
      </c>
      <c r="N155" s="8" t="s">
        <v>52</v>
      </c>
      <c r="O155" s="9" t="s">
        <v>300</v>
      </c>
    </row>
    <row r="156" spans="1:15" ht="86.4" x14ac:dyDescent="0.3">
      <c r="A156" s="3" t="s">
        <v>96</v>
      </c>
      <c r="B156" s="3" t="s">
        <v>331</v>
      </c>
      <c r="C156" s="3" t="str">
        <f>MID(Tabla1[[#This Row],[CodMovilidad]],6,3)</f>
        <v>120</v>
      </c>
      <c r="D156" s="3" t="s">
        <v>51</v>
      </c>
      <c r="E156" s="4" t="s">
        <v>42</v>
      </c>
      <c r="F156" s="3">
        <v>3</v>
      </c>
      <c r="G156" s="4" t="s">
        <v>250</v>
      </c>
      <c r="H156" s="5">
        <v>1</v>
      </c>
      <c r="I156" s="6">
        <v>46173</v>
      </c>
      <c r="J156" s="6">
        <v>46200</v>
      </c>
      <c r="K156" s="7">
        <v>4</v>
      </c>
      <c r="L156" s="7">
        <v>28</v>
      </c>
      <c r="M156" s="10" t="s">
        <v>290</v>
      </c>
      <c r="N156" s="8" t="s">
        <v>52</v>
      </c>
      <c r="O156" s="9" t="s">
        <v>291</v>
      </c>
    </row>
    <row r="157" spans="1:15" ht="57.6" x14ac:dyDescent="0.3">
      <c r="A157" s="3" t="s">
        <v>96</v>
      </c>
      <c r="B157" s="3" t="s">
        <v>332</v>
      </c>
      <c r="C157" s="3" t="str">
        <f>MID(Tabla1[[#This Row],[CodMovilidad]],6,3)</f>
        <v>121</v>
      </c>
      <c r="D157" s="3" t="s">
        <v>51</v>
      </c>
      <c r="E157" s="4" t="s">
        <v>42</v>
      </c>
      <c r="F157" s="3">
        <v>3</v>
      </c>
      <c r="G157" s="4" t="s">
        <v>250</v>
      </c>
      <c r="H157" s="5">
        <v>1</v>
      </c>
      <c r="I157" s="6">
        <v>46173</v>
      </c>
      <c r="J157" s="6">
        <v>46200</v>
      </c>
      <c r="K157" s="7">
        <v>4</v>
      </c>
      <c r="L157" s="7">
        <v>28</v>
      </c>
      <c r="M157" s="10" t="s">
        <v>293</v>
      </c>
      <c r="N157" s="8" t="s">
        <v>52</v>
      </c>
      <c r="O157" s="9" t="s">
        <v>294</v>
      </c>
    </row>
    <row r="158" spans="1:15" ht="86.4" x14ac:dyDescent="0.3">
      <c r="A158" s="3" t="s">
        <v>96</v>
      </c>
      <c r="B158" s="3" t="s">
        <v>333</v>
      </c>
      <c r="C158" s="3" t="str">
        <f>MID(Tabla1[[#This Row],[CodMovilidad]],6,3)</f>
        <v>122</v>
      </c>
      <c r="D158" s="3" t="s">
        <v>51</v>
      </c>
      <c r="E158" s="4" t="s">
        <v>42</v>
      </c>
      <c r="F158" s="3">
        <v>3</v>
      </c>
      <c r="G158" s="4" t="s">
        <v>250</v>
      </c>
      <c r="H158" s="5">
        <v>1</v>
      </c>
      <c r="I158" s="6">
        <v>46173</v>
      </c>
      <c r="J158" s="6">
        <v>46200</v>
      </c>
      <c r="K158" s="7">
        <v>4</v>
      </c>
      <c r="L158" s="7">
        <v>28</v>
      </c>
      <c r="M158" s="10" t="s">
        <v>296</v>
      </c>
      <c r="N158" s="8" t="s">
        <v>52</v>
      </c>
      <c r="O158" s="9" t="s">
        <v>297</v>
      </c>
    </row>
    <row r="159" spans="1:15" ht="86.4" x14ac:dyDescent="0.3">
      <c r="A159" s="3" t="s">
        <v>96</v>
      </c>
      <c r="B159" s="3" t="s">
        <v>334</v>
      </c>
      <c r="C159" s="3" t="str">
        <f>MID(Tabla1[[#This Row],[CodMovilidad]],6,3)</f>
        <v>123</v>
      </c>
      <c r="D159" s="3" t="s">
        <v>51</v>
      </c>
      <c r="E159" s="4" t="s">
        <v>42</v>
      </c>
      <c r="F159" s="3">
        <v>3</v>
      </c>
      <c r="G159" s="4" t="s">
        <v>250</v>
      </c>
      <c r="H159" s="5">
        <v>1</v>
      </c>
      <c r="I159" s="6">
        <v>46173</v>
      </c>
      <c r="J159" s="6">
        <v>46200</v>
      </c>
      <c r="K159" s="7">
        <v>4</v>
      </c>
      <c r="L159" s="7">
        <v>28</v>
      </c>
      <c r="M159" s="10" t="s">
        <v>299</v>
      </c>
      <c r="N159" s="8" t="s">
        <v>52</v>
      </c>
      <c r="O159" s="9" t="s">
        <v>300</v>
      </c>
    </row>
    <row r="160" spans="1:15" ht="172.8" x14ac:dyDescent="0.3">
      <c r="A160" s="3" t="s">
        <v>96</v>
      </c>
      <c r="B160" s="3" t="s">
        <v>335</v>
      </c>
      <c r="C160" s="3" t="str">
        <f>MID(Tabla1[[#This Row],[CodMovilidad]],6,3)</f>
        <v>124</v>
      </c>
      <c r="D160" s="3" t="s">
        <v>51</v>
      </c>
      <c r="E160" s="4" t="s">
        <v>29</v>
      </c>
      <c r="F160" s="3">
        <v>2</v>
      </c>
      <c r="G160" s="4" t="s">
        <v>30</v>
      </c>
      <c r="H160" s="5">
        <v>1</v>
      </c>
      <c r="I160" s="6">
        <v>46082</v>
      </c>
      <c r="J160" s="6">
        <v>46109</v>
      </c>
      <c r="K160" s="7">
        <v>4</v>
      </c>
      <c r="L160" s="7">
        <v>28</v>
      </c>
      <c r="M160" s="10" t="s">
        <v>231</v>
      </c>
      <c r="N160" s="8" t="s">
        <v>52</v>
      </c>
      <c r="O160" s="9" t="s">
        <v>232</v>
      </c>
    </row>
    <row r="161" spans="1:15" ht="144" x14ac:dyDescent="0.3">
      <c r="A161" s="3" t="s">
        <v>96</v>
      </c>
      <c r="B161" s="3" t="s">
        <v>336</v>
      </c>
      <c r="C161" s="3" t="str">
        <f>MID(Tabla1[[#This Row],[CodMovilidad]],6,3)</f>
        <v>125</v>
      </c>
      <c r="D161" s="3" t="s">
        <v>51</v>
      </c>
      <c r="E161" s="4" t="s">
        <v>29</v>
      </c>
      <c r="F161" s="3">
        <v>2</v>
      </c>
      <c r="G161" s="4" t="s">
        <v>30</v>
      </c>
      <c r="H161" s="5">
        <v>1</v>
      </c>
      <c r="I161" s="6">
        <v>46082</v>
      </c>
      <c r="J161" s="6">
        <v>46109</v>
      </c>
      <c r="K161" s="7">
        <v>4</v>
      </c>
      <c r="L161" s="7">
        <v>28</v>
      </c>
      <c r="M161" s="10" t="s">
        <v>234</v>
      </c>
      <c r="N161" s="8" t="s">
        <v>52</v>
      </c>
      <c r="O161" s="9" t="s">
        <v>337</v>
      </c>
    </row>
    <row r="162" spans="1:15" ht="43.2" x14ac:dyDescent="0.3">
      <c r="A162" s="3" t="s">
        <v>96</v>
      </c>
      <c r="B162" s="3" t="s">
        <v>338</v>
      </c>
      <c r="C162" s="3" t="str">
        <f>MID(Tabla1[[#This Row],[CodMovilidad]],6,3)</f>
        <v>126</v>
      </c>
      <c r="D162" s="3" t="s">
        <v>51</v>
      </c>
      <c r="E162" s="4" t="s">
        <v>42</v>
      </c>
      <c r="F162" s="3">
        <v>3</v>
      </c>
      <c r="G162" s="4" t="s">
        <v>250</v>
      </c>
      <c r="H162" s="5">
        <v>1</v>
      </c>
      <c r="I162" s="6">
        <v>46124</v>
      </c>
      <c r="J162" s="6">
        <v>46165</v>
      </c>
      <c r="K162" s="7">
        <v>6</v>
      </c>
      <c r="L162" s="7">
        <v>42</v>
      </c>
      <c r="M162" s="10" t="s">
        <v>260</v>
      </c>
      <c r="N162" s="8" t="s">
        <v>52</v>
      </c>
      <c r="O162" s="9" t="s">
        <v>261</v>
      </c>
    </row>
    <row r="163" spans="1:15" ht="100.8" x14ac:dyDescent="0.3">
      <c r="A163" s="3" t="s">
        <v>96</v>
      </c>
      <c r="B163" s="3" t="s">
        <v>339</v>
      </c>
      <c r="C163" s="3" t="str">
        <f>MID(Tabla1[[#This Row],[CodMovilidad]],6,3)</f>
        <v>127</v>
      </c>
      <c r="D163" s="3" t="s">
        <v>51</v>
      </c>
      <c r="E163" s="4" t="s">
        <v>42</v>
      </c>
      <c r="F163" s="3">
        <v>3</v>
      </c>
      <c r="G163" s="4" t="s">
        <v>250</v>
      </c>
      <c r="H163" s="5">
        <v>1</v>
      </c>
      <c r="I163" s="6">
        <v>46124</v>
      </c>
      <c r="J163" s="6">
        <v>46165</v>
      </c>
      <c r="K163" s="7">
        <v>6</v>
      </c>
      <c r="L163" s="7">
        <v>42</v>
      </c>
      <c r="M163" s="10" t="s">
        <v>263</v>
      </c>
      <c r="N163" s="8" t="s">
        <v>52</v>
      </c>
      <c r="O163" s="9" t="s">
        <v>264</v>
      </c>
    </row>
    <row r="164" spans="1:15" ht="86.4" x14ac:dyDescent="0.3">
      <c r="A164" s="3" t="s">
        <v>96</v>
      </c>
      <c r="B164" s="3" t="s">
        <v>340</v>
      </c>
      <c r="C164" s="3" t="str">
        <f>MID(Tabla1[[#This Row],[CodMovilidad]],6,3)</f>
        <v>128</v>
      </c>
      <c r="D164" s="3" t="s">
        <v>51</v>
      </c>
      <c r="E164" s="4" t="s">
        <v>42</v>
      </c>
      <c r="F164" s="3">
        <v>3</v>
      </c>
      <c r="G164" s="4" t="s">
        <v>250</v>
      </c>
      <c r="H164" s="5">
        <v>1</v>
      </c>
      <c r="I164" s="6">
        <v>46124</v>
      </c>
      <c r="J164" s="6">
        <v>46165</v>
      </c>
      <c r="K164" s="7">
        <v>6</v>
      </c>
      <c r="L164" s="7">
        <v>42</v>
      </c>
      <c r="M164" s="10" t="s">
        <v>266</v>
      </c>
      <c r="N164" s="8" t="s">
        <v>52</v>
      </c>
      <c r="O164" s="9" t="s">
        <v>267</v>
      </c>
    </row>
    <row r="165" spans="1:15" ht="86.4" x14ac:dyDescent="0.3">
      <c r="A165" s="3" t="s">
        <v>96</v>
      </c>
      <c r="B165" s="3" t="s">
        <v>341</v>
      </c>
      <c r="C165" s="3" t="str">
        <f>MID(Tabla1[[#This Row],[CodMovilidad]],6,3)</f>
        <v>129</v>
      </c>
      <c r="D165" s="3" t="s">
        <v>51</v>
      </c>
      <c r="E165" s="4" t="s">
        <v>42</v>
      </c>
      <c r="F165" s="3">
        <v>3</v>
      </c>
      <c r="G165" s="4" t="s">
        <v>250</v>
      </c>
      <c r="H165" s="5">
        <v>1</v>
      </c>
      <c r="I165" s="6">
        <v>46124</v>
      </c>
      <c r="J165" s="6">
        <v>46165</v>
      </c>
      <c r="K165" s="7">
        <v>6</v>
      </c>
      <c r="L165" s="7">
        <v>42</v>
      </c>
      <c r="M165" s="10" t="s">
        <v>269</v>
      </c>
      <c r="N165" s="8" t="s">
        <v>52</v>
      </c>
      <c r="O165" s="9" t="s">
        <v>270</v>
      </c>
    </row>
    <row r="166" spans="1:15" ht="86.4" x14ac:dyDescent="0.3">
      <c r="A166" s="3" t="s">
        <v>96</v>
      </c>
      <c r="B166" s="3" t="s">
        <v>342</v>
      </c>
      <c r="C166" s="3" t="str">
        <f>MID(Tabla1[[#This Row],[CodMovilidad]],6,3)</f>
        <v>130</v>
      </c>
      <c r="D166" s="3" t="s">
        <v>51</v>
      </c>
      <c r="E166" s="4" t="s">
        <v>42</v>
      </c>
      <c r="F166" s="3">
        <v>3</v>
      </c>
      <c r="G166" s="4" t="s">
        <v>250</v>
      </c>
      <c r="H166" s="5">
        <v>1</v>
      </c>
      <c r="I166" s="6">
        <v>46124</v>
      </c>
      <c r="J166" s="6">
        <v>46165</v>
      </c>
      <c r="K166" s="7">
        <v>6</v>
      </c>
      <c r="L166" s="7">
        <v>42</v>
      </c>
      <c r="M166" s="10" t="s">
        <v>272</v>
      </c>
      <c r="N166" s="8" t="s">
        <v>52</v>
      </c>
      <c r="O166" s="9" t="s">
        <v>273</v>
      </c>
    </row>
    <row r="167" spans="1:15" ht="100.8" x14ac:dyDescent="0.3">
      <c r="A167" s="3" t="s">
        <v>343</v>
      </c>
      <c r="B167" s="3" t="s">
        <v>344</v>
      </c>
      <c r="C167" s="3" t="str">
        <f>MID(Tabla1[[#This Row],[CodMovilidad]],6,3)</f>
        <v>001</v>
      </c>
      <c r="D167" s="3" t="s">
        <v>51</v>
      </c>
      <c r="E167" s="4" t="s">
        <v>15</v>
      </c>
      <c r="F167" s="3">
        <v>1</v>
      </c>
      <c r="G167" s="4" t="s">
        <v>16</v>
      </c>
      <c r="H167" s="5">
        <v>2</v>
      </c>
      <c r="I167" s="6">
        <v>46105</v>
      </c>
      <c r="J167" s="6">
        <v>46147</v>
      </c>
      <c r="K167" s="7">
        <v>6</v>
      </c>
      <c r="L167" s="7">
        <v>43</v>
      </c>
      <c r="M167" s="10" t="s">
        <v>345</v>
      </c>
      <c r="N167" s="8" t="s">
        <v>18</v>
      </c>
      <c r="O167" s="9" t="s">
        <v>346</v>
      </c>
    </row>
    <row r="168" spans="1:15" ht="100.8" x14ac:dyDescent="0.3">
      <c r="A168" s="3" t="s">
        <v>343</v>
      </c>
      <c r="B168" s="3" t="s">
        <v>347</v>
      </c>
      <c r="C168" s="3" t="str">
        <f>MID(Tabla1[[#This Row],[CodMovilidad]],6,3)</f>
        <v>002</v>
      </c>
      <c r="D168" s="3" t="s">
        <v>51</v>
      </c>
      <c r="E168" s="4" t="s">
        <v>15</v>
      </c>
      <c r="F168" s="3">
        <v>1</v>
      </c>
      <c r="G168" s="4" t="s">
        <v>16</v>
      </c>
      <c r="H168" s="5">
        <v>2</v>
      </c>
      <c r="I168" s="6">
        <v>46105</v>
      </c>
      <c r="J168" s="6">
        <v>46147</v>
      </c>
      <c r="K168" s="7">
        <v>6</v>
      </c>
      <c r="L168" s="7">
        <v>43</v>
      </c>
      <c r="M168" s="10" t="s">
        <v>345</v>
      </c>
      <c r="N168" s="8" t="s">
        <v>18</v>
      </c>
      <c r="O168" s="9" t="s">
        <v>348</v>
      </c>
    </row>
    <row r="169" spans="1:15" ht="100.8" x14ac:dyDescent="0.3">
      <c r="A169" s="3" t="s">
        <v>343</v>
      </c>
      <c r="B169" s="3" t="s">
        <v>349</v>
      </c>
      <c r="C169" s="3" t="str">
        <f>MID(Tabla1[[#This Row],[CodMovilidad]],6,3)</f>
        <v>003</v>
      </c>
      <c r="D169" s="3" t="s">
        <v>51</v>
      </c>
      <c r="E169" s="4" t="s">
        <v>15</v>
      </c>
      <c r="F169" s="3">
        <v>1</v>
      </c>
      <c r="G169" s="4" t="s">
        <v>16</v>
      </c>
      <c r="H169" s="5">
        <v>2</v>
      </c>
      <c r="I169" s="6">
        <v>46105</v>
      </c>
      <c r="J169" s="6">
        <v>46147</v>
      </c>
      <c r="K169" s="7">
        <v>6</v>
      </c>
      <c r="L169" s="7">
        <v>43</v>
      </c>
      <c r="M169" s="10" t="s">
        <v>345</v>
      </c>
      <c r="N169" s="8" t="s">
        <v>18</v>
      </c>
      <c r="O169" s="9" t="s">
        <v>350</v>
      </c>
    </row>
    <row r="170" spans="1:15" ht="100.8" x14ac:dyDescent="0.3">
      <c r="A170" s="3" t="s">
        <v>343</v>
      </c>
      <c r="B170" s="3" t="s">
        <v>351</v>
      </c>
      <c r="C170" s="3" t="str">
        <f>MID(Tabla1[[#This Row],[CodMovilidad]],6,3)</f>
        <v>004</v>
      </c>
      <c r="D170" s="3" t="s">
        <v>51</v>
      </c>
      <c r="E170" s="4" t="s">
        <v>15</v>
      </c>
      <c r="F170" s="3">
        <v>1</v>
      </c>
      <c r="G170" s="4" t="s">
        <v>16</v>
      </c>
      <c r="H170" s="5">
        <v>2</v>
      </c>
      <c r="I170" s="6">
        <v>46105</v>
      </c>
      <c r="J170" s="6">
        <v>46147</v>
      </c>
      <c r="K170" s="7">
        <v>6</v>
      </c>
      <c r="L170" s="7">
        <v>43</v>
      </c>
      <c r="M170" s="10" t="s">
        <v>352</v>
      </c>
      <c r="N170" s="8" t="s">
        <v>18</v>
      </c>
      <c r="O170" s="9" t="s">
        <v>353</v>
      </c>
    </row>
    <row r="171" spans="1:15" ht="100.8" x14ac:dyDescent="0.3">
      <c r="A171" s="3" t="s">
        <v>343</v>
      </c>
      <c r="B171" s="3" t="s">
        <v>354</v>
      </c>
      <c r="C171" s="3" t="str">
        <f>MID(Tabla1[[#This Row],[CodMovilidad]],6,3)</f>
        <v>005</v>
      </c>
      <c r="D171" s="3" t="s">
        <v>51</v>
      </c>
      <c r="E171" s="4" t="s">
        <v>15</v>
      </c>
      <c r="F171" s="3">
        <v>1</v>
      </c>
      <c r="G171" s="4" t="s">
        <v>16</v>
      </c>
      <c r="H171" s="5">
        <v>2</v>
      </c>
      <c r="I171" s="6">
        <v>46105</v>
      </c>
      <c r="J171" s="6">
        <v>46147</v>
      </c>
      <c r="K171" s="7">
        <v>6</v>
      </c>
      <c r="L171" s="7">
        <v>43</v>
      </c>
      <c r="M171" s="10" t="s">
        <v>352</v>
      </c>
      <c r="N171" s="8" t="s">
        <v>18</v>
      </c>
      <c r="O171" s="9" t="s">
        <v>355</v>
      </c>
    </row>
    <row r="172" spans="1:15" ht="100.8" x14ac:dyDescent="0.3">
      <c r="A172" s="3" t="s">
        <v>343</v>
      </c>
      <c r="B172" s="3" t="s">
        <v>356</v>
      </c>
      <c r="C172" s="3" t="str">
        <f>MID(Tabla1[[#This Row],[CodMovilidad]],6,3)</f>
        <v>006</v>
      </c>
      <c r="D172" s="3" t="s">
        <v>51</v>
      </c>
      <c r="E172" s="4" t="s">
        <v>15</v>
      </c>
      <c r="F172" s="3">
        <v>1</v>
      </c>
      <c r="G172" s="4" t="s">
        <v>16</v>
      </c>
      <c r="H172" s="5">
        <v>2</v>
      </c>
      <c r="I172" s="6">
        <v>46105</v>
      </c>
      <c r="J172" s="6">
        <v>46147</v>
      </c>
      <c r="K172" s="7">
        <v>6</v>
      </c>
      <c r="L172" s="7">
        <v>43</v>
      </c>
      <c r="M172" s="10" t="s">
        <v>357</v>
      </c>
      <c r="N172" s="8" t="s">
        <v>18</v>
      </c>
      <c r="O172" s="9" t="s">
        <v>358</v>
      </c>
    </row>
    <row r="173" spans="1:15" ht="100.8" x14ac:dyDescent="0.3">
      <c r="A173" s="3" t="s">
        <v>343</v>
      </c>
      <c r="B173" s="3" t="s">
        <v>359</v>
      </c>
      <c r="C173" s="3" t="str">
        <f>MID(Tabla1[[#This Row],[CodMovilidad]],6,3)</f>
        <v>007</v>
      </c>
      <c r="D173" s="3" t="s">
        <v>51</v>
      </c>
      <c r="E173" s="4" t="s">
        <v>15</v>
      </c>
      <c r="F173" s="3">
        <v>1</v>
      </c>
      <c r="G173" s="4" t="s">
        <v>16</v>
      </c>
      <c r="H173" s="5">
        <v>15</v>
      </c>
      <c r="I173" s="6">
        <v>46105</v>
      </c>
      <c r="J173" s="6">
        <v>46147</v>
      </c>
      <c r="K173" s="7">
        <v>6</v>
      </c>
      <c r="L173" s="7">
        <v>43</v>
      </c>
      <c r="M173" s="10" t="s">
        <v>360</v>
      </c>
      <c r="N173" s="8" t="s">
        <v>18</v>
      </c>
      <c r="O173" s="9" t="s">
        <v>361</v>
      </c>
    </row>
    <row r="174" spans="1:15" ht="100.8" x14ac:dyDescent="0.3">
      <c r="A174" s="3" t="s">
        <v>343</v>
      </c>
      <c r="B174" s="3" t="s">
        <v>362</v>
      </c>
      <c r="C174" s="3" t="str">
        <f>MID(Tabla1[[#This Row],[CodMovilidad]],6,3)</f>
        <v>008</v>
      </c>
      <c r="D174" s="3" t="s">
        <v>51</v>
      </c>
      <c r="E174" s="4" t="s">
        <v>15</v>
      </c>
      <c r="F174" s="3">
        <v>1</v>
      </c>
      <c r="G174" s="4" t="s">
        <v>16</v>
      </c>
      <c r="H174" s="5">
        <v>6</v>
      </c>
      <c r="I174" s="6">
        <v>46105</v>
      </c>
      <c r="J174" s="6">
        <v>46147</v>
      </c>
      <c r="K174" s="7">
        <v>6</v>
      </c>
      <c r="L174" s="7">
        <v>43</v>
      </c>
      <c r="M174" s="10" t="s">
        <v>363</v>
      </c>
      <c r="N174" s="8" t="s">
        <v>18</v>
      </c>
      <c r="O174" s="9" t="s">
        <v>364</v>
      </c>
    </row>
    <row r="175" spans="1:15" ht="100.8" x14ac:dyDescent="0.3">
      <c r="A175" s="3" t="s">
        <v>343</v>
      </c>
      <c r="B175" s="3" t="s">
        <v>365</v>
      </c>
      <c r="C175" s="3" t="str">
        <f>MID(Tabla1[[#This Row],[CodMovilidad]],6,3)</f>
        <v>009</v>
      </c>
      <c r="D175" s="3" t="s">
        <v>51</v>
      </c>
      <c r="E175" s="4" t="s">
        <v>15</v>
      </c>
      <c r="F175" s="3">
        <v>1</v>
      </c>
      <c r="G175" s="4" t="s">
        <v>16</v>
      </c>
      <c r="H175" s="5">
        <v>3</v>
      </c>
      <c r="I175" s="6">
        <v>46105</v>
      </c>
      <c r="J175" s="6">
        <v>46147</v>
      </c>
      <c r="K175" s="7">
        <v>6</v>
      </c>
      <c r="L175" s="7">
        <v>43</v>
      </c>
      <c r="M175" s="10" t="s">
        <v>366</v>
      </c>
      <c r="N175" s="8" t="s">
        <v>18</v>
      </c>
      <c r="O175" s="9" t="s">
        <v>367</v>
      </c>
    </row>
    <row r="176" spans="1:15" ht="100.8" x14ac:dyDescent="0.3">
      <c r="A176" s="3" t="s">
        <v>343</v>
      </c>
      <c r="B176" s="3" t="s">
        <v>368</v>
      </c>
      <c r="C176" s="3" t="str">
        <f>MID(Tabla1[[#This Row],[CodMovilidad]],6,3)</f>
        <v>010</v>
      </c>
      <c r="D176" s="3" t="s">
        <v>51</v>
      </c>
      <c r="E176" s="4" t="s">
        <v>15</v>
      </c>
      <c r="F176" s="3">
        <v>1</v>
      </c>
      <c r="G176" s="4" t="s">
        <v>16</v>
      </c>
      <c r="H176" s="5">
        <v>3</v>
      </c>
      <c r="I176" s="6">
        <v>46105</v>
      </c>
      <c r="J176" s="6">
        <v>46147</v>
      </c>
      <c r="K176" s="7">
        <v>6</v>
      </c>
      <c r="L176" s="7">
        <v>43</v>
      </c>
      <c r="M176" s="10" t="s">
        <v>366</v>
      </c>
      <c r="N176" s="8" t="s">
        <v>18</v>
      </c>
      <c r="O176" s="9" t="s">
        <v>369</v>
      </c>
    </row>
    <row r="177" spans="1:15" ht="100.8" x14ac:dyDescent="0.3">
      <c r="A177" s="3" t="s">
        <v>343</v>
      </c>
      <c r="B177" s="3" t="s">
        <v>370</v>
      </c>
      <c r="C177" s="3" t="str">
        <f>MID(Tabla1[[#This Row],[CodMovilidad]],6,3)</f>
        <v>011</v>
      </c>
      <c r="D177" s="3" t="s">
        <v>51</v>
      </c>
      <c r="E177" s="4" t="s">
        <v>15</v>
      </c>
      <c r="F177" s="3">
        <v>1</v>
      </c>
      <c r="G177" s="4" t="s">
        <v>371</v>
      </c>
      <c r="H177" s="5">
        <v>6</v>
      </c>
      <c r="I177" s="6">
        <v>46111</v>
      </c>
      <c r="J177" s="6">
        <v>46153</v>
      </c>
      <c r="K177" s="7">
        <v>6</v>
      </c>
      <c r="L177" s="7">
        <v>43</v>
      </c>
      <c r="M177" s="10" t="s">
        <v>366</v>
      </c>
      <c r="N177" s="8" t="s">
        <v>18</v>
      </c>
      <c r="O177" s="9" t="s">
        <v>372</v>
      </c>
    </row>
    <row r="178" spans="1:15" ht="100.8" x14ac:dyDescent="0.3">
      <c r="A178" s="3" t="s">
        <v>343</v>
      </c>
      <c r="B178" s="3" t="s">
        <v>373</v>
      </c>
      <c r="C178" s="3" t="str">
        <f>MID(Tabla1[[#This Row],[CodMovilidad]],6,3)</f>
        <v>012</v>
      </c>
      <c r="D178" s="3" t="s">
        <v>51</v>
      </c>
      <c r="E178" s="4" t="s">
        <v>15</v>
      </c>
      <c r="F178" s="3">
        <v>1</v>
      </c>
      <c r="G178" s="4" t="s">
        <v>371</v>
      </c>
      <c r="H178" s="5">
        <v>2</v>
      </c>
      <c r="I178" s="6">
        <v>46111</v>
      </c>
      <c r="J178" s="6">
        <v>46153</v>
      </c>
      <c r="K178" s="7">
        <v>6</v>
      </c>
      <c r="L178" s="7">
        <v>43</v>
      </c>
      <c r="M178" s="10" t="s">
        <v>352</v>
      </c>
      <c r="N178" s="8" t="s">
        <v>18</v>
      </c>
      <c r="O178" s="9" t="s">
        <v>374</v>
      </c>
    </row>
    <row r="179" spans="1:15" ht="100.8" x14ac:dyDescent="0.3">
      <c r="A179" s="3" t="s">
        <v>343</v>
      </c>
      <c r="B179" s="3" t="s">
        <v>375</v>
      </c>
      <c r="C179" s="3" t="str">
        <f>MID(Tabla1[[#This Row],[CodMovilidad]],6,3)</f>
        <v>013</v>
      </c>
      <c r="D179" s="3" t="s">
        <v>51</v>
      </c>
      <c r="E179" s="4" t="s">
        <v>15</v>
      </c>
      <c r="F179" s="3">
        <v>1</v>
      </c>
      <c r="G179" s="4" t="s">
        <v>371</v>
      </c>
      <c r="H179" s="5">
        <v>3</v>
      </c>
      <c r="I179" s="6">
        <v>46111</v>
      </c>
      <c r="J179" s="6">
        <v>46153</v>
      </c>
      <c r="K179" s="7">
        <v>6</v>
      </c>
      <c r="L179" s="7">
        <v>43</v>
      </c>
      <c r="M179" s="10" t="s">
        <v>345</v>
      </c>
      <c r="N179" s="8" t="s">
        <v>18</v>
      </c>
      <c r="O179" s="9" t="s">
        <v>376</v>
      </c>
    </row>
    <row r="180" spans="1:15" ht="100.8" x14ac:dyDescent="0.3">
      <c r="A180" s="3" t="s">
        <v>343</v>
      </c>
      <c r="B180" s="3" t="s">
        <v>377</v>
      </c>
      <c r="C180" s="3" t="str">
        <f>MID(Tabla1[[#This Row],[CodMovilidad]],6,3)</f>
        <v>014</v>
      </c>
      <c r="D180" s="3" t="s">
        <v>51</v>
      </c>
      <c r="E180" s="4" t="s">
        <v>15</v>
      </c>
      <c r="F180" s="3">
        <v>1</v>
      </c>
      <c r="G180" s="4" t="s">
        <v>371</v>
      </c>
      <c r="H180" s="5">
        <v>3</v>
      </c>
      <c r="I180" s="6">
        <v>46111</v>
      </c>
      <c r="J180" s="6">
        <v>46153</v>
      </c>
      <c r="K180" s="7">
        <v>6</v>
      </c>
      <c r="L180" s="7">
        <v>43</v>
      </c>
      <c r="M180" s="10" t="s">
        <v>360</v>
      </c>
      <c r="N180" s="8" t="s">
        <v>18</v>
      </c>
      <c r="O180" s="9" t="s">
        <v>378</v>
      </c>
    </row>
    <row r="181" spans="1:15" ht="100.8" x14ac:dyDescent="0.3">
      <c r="A181" s="3" t="s">
        <v>343</v>
      </c>
      <c r="B181" s="3" t="s">
        <v>379</v>
      </c>
      <c r="C181" s="3" t="str">
        <f>MID(Tabla1[[#This Row],[CodMovilidad]],6,3)</f>
        <v>015</v>
      </c>
      <c r="D181" s="3" t="s">
        <v>51</v>
      </c>
      <c r="E181" s="4" t="s">
        <v>15</v>
      </c>
      <c r="F181" s="3">
        <v>1</v>
      </c>
      <c r="G181" s="4" t="s">
        <v>16</v>
      </c>
      <c r="H181" s="5">
        <v>5</v>
      </c>
      <c r="I181" s="6">
        <v>46161</v>
      </c>
      <c r="J181" s="6">
        <v>46203</v>
      </c>
      <c r="K181" s="7">
        <v>6</v>
      </c>
      <c r="L181" s="7">
        <v>43</v>
      </c>
      <c r="M181" s="10" t="s">
        <v>380</v>
      </c>
      <c r="N181" s="8" t="s">
        <v>18</v>
      </c>
      <c r="O181" s="9" t="s">
        <v>381</v>
      </c>
    </row>
    <row r="182" spans="1:15" ht="100.8" x14ac:dyDescent="0.3">
      <c r="A182" s="3" t="s">
        <v>343</v>
      </c>
      <c r="B182" s="3" t="s">
        <v>382</v>
      </c>
      <c r="C182" s="3" t="str">
        <f>MID(Tabla1[[#This Row],[CodMovilidad]],6,3)</f>
        <v>016</v>
      </c>
      <c r="D182" s="3" t="s">
        <v>51</v>
      </c>
      <c r="E182" s="4" t="s">
        <v>15</v>
      </c>
      <c r="F182" s="3">
        <v>1</v>
      </c>
      <c r="G182" s="4" t="s">
        <v>16</v>
      </c>
      <c r="H182" s="5">
        <v>2</v>
      </c>
      <c r="I182" s="6">
        <v>46161</v>
      </c>
      <c r="J182" s="6">
        <v>46203</v>
      </c>
      <c r="K182" s="7">
        <v>6</v>
      </c>
      <c r="L182" s="7">
        <v>43</v>
      </c>
      <c r="M182" s="10" t="s">
        <v>345</v>
      </c>
      <c r="N182" s="8" t="s">
        <v>18</v>
      </c>
      <c r="O182" s="9" t="s">
        <v>383</v>
      </c>
    </row>
    <row r="183" spans="1:15" ht="100.8" x14ac:dyDescent="0.3">
      <c r="A183" s="3" t="s">
        <v>343</v>
      </c>
      <c r="B183" s="3" t="s">
        <v>384</v>
      </c>
      <c r="C183" s="3" t="str">
        <f>MID(Tabla1[[#This Row],[CodMovilidad]],6,3)</f>
        <v>017</v>
      </c>
      <c r="D183" s="3" t="s">
        <v>51</v>
      </c>
      <c r="E183" s="4" t="s">
        <v>15</v>
      </c>
      <c r="F183" s="3">
        <v>1</v>
      </c>
      <c r="G183" s="4" t="s">
        <v>16</v>
      </c>
      <c r="H183" s="5">
        <v>2</v>
      </c>
      <c r="I183" s="6">
        <v>46161</v>
      </c>
      <c r="J183" s="6">
        <v>46203</v>
      </c>
      <c r="K183" s="7">
        <v>6</v>
      </c>
      <c r="L183" s="7">
        <v>43</v>
      </c>
      <c r="M183" s="10" t="s">
        <v>345</v>
      </c>
      <c r="N183" s="8" t="s">
        <v>18</v>
      </c>
      <c r="O183" s="9" t="s">
        <v>348</v>
      </c>
    </row>
    <row r="184" spans="1:15" ht="100.8" x14ac:dyDescent="0.3">
      <c r="A184" s="3" t="s">
        <v>343</v>
      </c>
      <c r="B184" s="3" t="s">
        <v>385</v>
      </c>
      <c r="C184" s="3" t="str">
        <f>MID(Tabla1[[#This Row],[CodMovilidad]],6,3)</f>
        <v>018</v>
      </c>
      <c r="D184" s="3" t="s">
        <v>51</v>
      </c>
      <c r="E184" s="4" t="s">
        <v>15</v>
      </c>
      <c r="F184" s="3">
        <v>1</v>
      </c>
      <c r="G184" s="4" t="s">
        <v>16</v>
      </c>
      <c r="H184" s="5">
        <v>2</v>
      </c>
      <c r="I184" s="6">
        <v>46161</v>
      </c>
      <c r="J184" s="6">
        <v>46203</v>
      </c>
      <c r="K184" s="7">
        <v>6</v>
      </c>
      <c r="L184" s="7">
        <v>43</v>
      </c>
      <c r="M184" s="10" t="s">
        <v>345</v>
      </c>
      <c r="N184" s="8" t="s">
        <v>18</v>
      </c>
      <c r="O184" s="9" t="s">
        <v>350</v>
      </c>
    </row>
    <row r="185" spans="1:15" ht="100.8" x14ac:dyDescent="0.3">
      <c r="A185" s="3" t="s">
        <v>343</v>
      </c>
      <c r="B185" s="3" t="s">
        <v>386</v>
      </c>
      <c r="C185" s="3" t="str">
        <f>MID(Tabla1[[#This Row],[CodMovilidad]],6,3)</f>
        <v>019</v>
      </c>
      <c r="D185" s="3" t="s">
        <v>51</v>
      </c>
      <c r="E185" s="4" t="s">
        <v>15</v>
      </c>
      <c r="F185" s="3">
        <v>1</v>
      </c>
      <c r="G185" s="4" t="s">
        <v>16</v>
      </c>
      <c r="H185" s="5">
        <v>2</v>
      </c>
      <c r="I185" s="6">
        <v>46161</v>
      </c>
      <c r="J185" s="6">
        <v>46203</v>
      </c>
      <c r="K185" s="7">
        <v>6</v>
      </c>
      <c r="L185" s="7">
        <v>43</v>
      </c>
      <c r="M185" s="10" t="s">
        <v>352</v>
      </c>
      <c r="N185" s="8" t="s">
        <v>18</v>
      </c>
      <c r="O185" s="9" t="s">
        <v>387</v>
      </c>
    </row>
    <row r="186" spans="1:15" ht="100.8" x14ac:dyDescent="0.3">
      <c r="A186" s="3" t="s">
        <v>343</v>
      </c>
      <c r="B186" s="3" t="s">
        <v>388</v>
      </c>
      <c r="C186" s="3" t="str">
        <f>MID(Tabla1[[#This Row],[CodMovilidad]],6,3)</f>
        <v>020</v>
      </c>
      <c r="D186" s="3" t="s">
        <v>51</v>
      </c>
      <c r="E186" s="4" t="s">
        <v>15</v>
      </c>
      <c r="F186" s="3">
        <v>1</v>
      </c>
      <c r="G186" s="4" t="s">
        <v>16</v>
      </c>
      <c r="H186" s="5">
        <v>2</v>
      </c>
      <c r="I186" s="6">
        <v>46161</v>
      </c>
      <c r="J186" s="6">
        <v>46203</v>
      </c>
      <c r="K186" s="7">
        <v>6</v>
      </c>
      <c r="L186" s="7">
        <v>43</v>
      </c>
      <c r="M186" s="10" t="s">
        <v>352</v>
      </c>
      <c r="N186" s="8" t="s">
        <v>18</v>
      </c>
      <c r="O186" s="9" t="s">
        <v>355</v>
      </c>
    </row>
    <row r="187" spans="1:15" ht="100.8" x14ac:dyDescent="0.3">
      <c r="A187" s="3" t="s">
        <v>343</v>
      </c>
      <c r="B187" s="3" t="s">
        <v>389</v>
      </c>
      <c r="C187" s="3" t="str">
        <f>MID(Tabla1[[#This Row],[CodMovilidad]],6,3)</f>
        <v>021</v>
      </c>
      <c r="D187" s="3" t="s">
        <v>51</v>
      </c>
      <c r="E187" s="4" t="s">
        <v>15</v>
      </c>
      <c r="F187" s="3">
        <v>1</v>
      </c>
      <c r="G187" s="4" t="s">
        <v>16</v>
      </c>
      <c r="H187" s="5">
        <v>2</v>
      </c>
      <c r="I187" s="6">
        <v>46161</v>
      </c>
      <c r="J187" s="6">
        <v>46203</v>
      </c>
      <c r="K187" s="7">
        <v>6</v>
      </c>
      <c r="L187" s="7">
        <v>43</v>
      </c>
      <c r="M187" s="10" t="s">
        <v>357</v>
      </c>
      <c r="N187" s="8" t="s">
        <v>18</v>
      </c>
      <c r="O187" s="9" t="s">
        <v>358</v>
      </c>
    </row>
    <row r="188" spans="1:15" ht="100.8" x14ac:dyDescent="0.3">
      <c r="A188" s="3" t="s">
        <v>343</v>
      </c>
      <c r="B188" s="3" t="s">
        <v>390</v>
      </c>
      <c r="C188" s="3" t="str">
        <f>MID(Tabla1[[#This Row],[CodMovilidad]],6,3)</f>
        <v>022</v>
      </c>
      <c r="D188" s="3" t="s">
        <v>51</v>
      </c>
      <c r="E188" s="4" t="s">
        <v>15</v>
      </c>
      <c r="F188" s="3">
        <v>1</v>
      </c>
      <c r="G188" s="4" t="s">
        <v>16</v>
      </c>
      <c r="H188" s="5">
        <v>5</v>
      </c>
      <c r="I188" s="6">
        <v>46161</v>
      </c>
      <c r="J188" s="6">
        <v>46203</v>
      </c>
      <c r="K188" s="7">
        <v>6</v>
      </c>
      <c r="L188" s="7">
        <v>43</v>
      </c>
      <c r="M188" s="10" t="s">
        <v>391</v>
      </c>
      <c r="N188" s="8" t="s">
        <v>18</v>
      </c>
      <c r="O188" s="9" t="s">
        <v>392</v>
      </c>
    </row>
    <row r="189" spans="1:15" ht="100.8" x14ac:dyDescent="0.3">
      <c r="A189" s="3" t="s">
        <v>343</v>
      </c>
      <c r="B189" s="3" t="s">
        <v>393</v>
      </c>
      <c r="C189" s="3" t="str">
        <f>MID(Tabla1[[#This Row],[CodMovilidad]],6,3)</f>
        <v>023</v>
      </c>
      <c r="D189" s="3" t="s">
        <v>51</v>
      </c>
      <c r="E189" s="4" t="s">
        <v>15</v>
      </c>
      <c r="F189" s="3">
        <v>1</v>
      </c>
      <c r="G189" s="4" t="s">
        <v>16</v>
      </c>
      <c r="H189" s="5">
        <v>15</v>
      </c>
      <c r="I189" s="6">
        <v>46161</v>
      </c>
      <c r="J189" s="6">
        <v>46203</v>
      </c>
      <c r="K189" s="7">
        <v>6</v>
      </c>
      <c r="L189" s="7">
        <v>43</v>
      </c>
      <c r="M189" s="10" t="s">
        <v>360</v>
      </c>
      <c r="N189" s="8" t="s">
        <v>18</v>
      </c>
      <c r="O189" s="9" t="s">
        <v>361</v>
      </c>
    </row>
    <row r="190" spans="1:15" ht="100.8" x14ac:dyDescent="0.3">
      <c r="A190" s="3" t="s">
        <v>343</v>
      </c>
      <c r="B190" s="3" t="s">
        <v>394</v>
      </c>
      <c r="C190" s="3" t="str">
        <f>MID(Tabla1[[#This Row],[CodMovilidad]],6,3)</f>
        <v>024</v>
      </c>
      <c r="D190" s="3" t="s">
        <v>51</v>
      </c>
      <c r="E190" s="4" t="s">
        <v>15</v>
      </c>
      <c r="F190" s="3">
        <v>1</v>
      </c>
      <c r="G190" s="4" t="s">
        <v>16</v>
      </c>
      <c r="H190" s="5">
        <v>6</v>
      </c>
      <c r="I190" s="6">
        <v>46161</v>
      </c>
      <c r="J190" s="6">
        <v>46203</v>
      </c>
      <c r="K190" s="7">
        <v>6</v>
      </c>
      <c r="L190" s="7">
        <v>43</v>
      </c>
      <c r="M190" s="10" t="s">
        <v>363</v>
      </c>
      <c r="N190" s="8" t="s">
        <v>18</v>
      </c>
      <c r="O190" s="9" t="s">
        <v>364</v>
      </c>
    </row>
    <row r="191" spans="1:15" ht="100.8" x14ac:dyDescent="0.3">
      <c r="A191" s="3" t="s">
        <v>343</v>
      </c>
      <c r="B191" s="3" t="s">
        <v>395</v>
      </c>
      <c r="C191" s="3" t="str">
        <f>MID(Tabla1[[#This Row],[CodMovilidad]],6,3)</f>
        <v>025</v>
      </c>
      <c r="D191" s="3" t="s">
        <v>51</v>
      </c>
      <c r="E191" s="4" t="s">
        <v>15</v>
      </c>
      <c r="F191" s="3">
        <v>1</v>
      </c>
      <c r="G191" s="4" t="s">
        <v>16</v>
      </c>
      <c r="H191" s="5">
        <v>3</v>
      </c>
      <c r="I191" s="6">
        <v>46161</v>
      </c>
      <c r="J191" s="6">
        <v>46203</v>
      </c>
      <c r="K191" s="7">
        <v>6</v>
      </c>
      <c r="L191" s="7">
        <v>43</v>
      </c>
      <c r="M191" s="10" t="s">
        <v>366</v>
      </c>
      <c r="N191" s="8" t="s">
        <v>18</v>
      </c>
      <c r="O191" s="9" t="s">
        <v>396</v>
      </c>
    </row>
    <row r="192" spans="1:15" ht="100.8" x14ac:dyDescent="0.3">
      <c r="A192" s="3" t="s">
        <v>343</v>
      </c>
      <c r="B192" s="3" t="s">
        <v>397</v>
      </c>
      <c r="C192" s="3" t="str">
        <f>MID(Tabla1[[#This Row],[CodMovilidad]],6,3)</f>
        <v>026</v>
      </c>
      <c r="D192" s="3" t="s">
        <v>51</v>
      </c>
      <c r="E192" s="4" t="s">
        <v>15</v>
      </c>
      <c r="F192" s="3">
        <v>1</v>
      </c>
      <c r="G192" s="4" t="s">
        <v>16</v>
      </c>
      <c r="H192" s="5">
        <v>3</v>
      </c>
      <c r="I192" s="6">
        <v>46161</v>
      </c>
      <c r="J192" s="6">
        <v>46203</v>
      </c>
      <c r="K192" s="7">
        <v>6</v>
      </c>
      <c r="L192" s="7">
        <v>43</v>
      </c>
      <c r="M192" s="10" t="s">
        <v>366</v>
      </c>
      <c r="N192" s="8" t="s">
        <v>18</v>
      </c>
      <c r="O192" s="9" t="s">
        <v>398</v>
      </c>
    </row>
    <row r="193" spans="1:15" ht="100.8" x14ac:dyDescent="0.3">
      <c r="A193" s="3" t="s">
        <v>343</v>
      </c>
      <c r="B193" s="3" t="s">
        <v>399</v>
      </c>
      <c r="C193" s="3" t="str">
        <f>MID(Tabla1[[#This Row],[CodMovilidad]],6,3)</f>
        <v>027</v>
      </c>
      <c r="D193" s="3" t="s">
        <v>51</v>
      </c>
      <c r="E193" s="4" t="s">
        <v>15</v>
      </c>
      <c r="F193" s="3">
        <v>1</v>
      </c>
      <c r="G193" s="4" t="s">
        <v>371</v>
      </c>
      <c r="H193" s="5">
        <v>2</v>
      </c>
      <c r="I193" s="6">
        <v>46118</v>
      </c>
      <c r="J193" s="6">
        <v>46160</v>
      </c>
      <c r="K193" s="7">
        <v>6</v>
      </c>
      <c r="L193" s="7">
        <v>43</v>
      </c>
      <c r="M193" s="10" t="s">
        <v>400</v>
      </c>
      <c r="N193" s="8" t="s">
        <v>18</v>
      </c>
      <c r="O193" s="9" t="s">
        <v>401</v>
      </c>
    </row>
    <row r="194" spans="1:15" ht="100.8" x14ac:dyDescent="0.3">
      <c r="A194" s="3" t="s">
        <v>343</v>
      </c>
      <c r="B194" s="3" t="s">
        <v>402</v>
      </c>
      <c r="C194" s="3" t="str">
        <f>MID(Tabla1[[#This Row],[CodMovilidad]],6,3)</f>
        <v>028</v>
      </c>
      <c r="D194" s="3" t="s">
        <v>51</v>
      </c>
      <c r="E194" s="4" t="s">
        <v>15</v>
      </c>
      <c r="F194" s="3">
        <v>1</v>
      </c>
      <c r="G194" s="4" t="s">
        <v>371</v>
      </c>
      <c r="H194" s="5">
        <v>2</v>
      </c>
      <c r="I194" s="6">
        <v>46118</v>
      </c>
      <c r="J194" s="6">
        <v>46160</v>
      </c>
      <c r="K194" s="7">
        <v>6</v>
      </c>
      <c r="L194" s="7">
        <v>43</v>
      </c>
      <c r="M194" s="10" t="s">
        <v>363</v>
      </c>
      <c r="N194" s="8" t="s">
        <v>18</v>
      </c>
      <c r="O194" s="9" t="s">
        <v>403</v>
      </c>
    </row>
    <row r="195" spans="1:15" ht="100.8" x14ac:dyDescent="0.3">
      <c r="A195" s="3" t="s">
        <v>343</v>
      </c>
      <c r="B195" s="3" t="s">
        <v>404</v>
      </c>
      <c r="C195" s="3" t="str">
        <f>MID(Tabla1[[#This Row],[CodMovilidad]],6,3)</f>
        <v>029</v>
      </c>
      <c r="D195" s="3" t="s">
        <v>51</v>
      </c>
      <c r="E195" s="4" t="s">
        <v>15</v>
      </c>
      <c r="F195" s="3">
        <v>1</v>
      </c>
      <c r="G195" s="4" t="s">
        <v>371</v>
      </c>
      <c r="H195" s="5">
        <v>2</v>
      </c>
      <c r="I195" s="6">
        <v>46118</v>
      </c>
      <c r="J195" s="6">
        <v>46160</v>
      </c>
      <c r="K195" s="7">
        <v>6</v>
      </c>
      <c r="L195" s="7">
        <v>43</v>
      </c>
      <c r="M195" s="10" t="s">
        <v>380</v>
      </c>
      <c r="N195" s="8" t="s">
        <v>18</v>
      </c>
      <c r="O195" s="9" t="s">
        <v>405</v>
      </c>
    </row>
    <row r="196" spans="1:15" ht="100.8" x14ac:dyDescent="0.3">
      <c r="A196" s="3" t="s">
        <v>343</v>
      </c>
      <c r="B196" s="3" t="s">
        <v>406</v>
      </c>
      <c r="C196" s="3" t="str">
        <f>MID(Tabla1[[#This Row],[CodMovilidad]],6,3)</f>
        <v>030</v>
      </c>
      <c r="D196" s="3" t="s">
        <v>51</v>
      </c>
      <c r="E196" s="4" t="s">
        <v>15</v>
      </c>
      <c r="F196" s="3">
        <v>1</v>
      </c>
      <c r="G196" s="4" t="s">
        <v>371</v>
      </c>
      <c r="H196" s="5">
        <v>3</v>
      </c>
      <c r="I196" s="6">
        <v>46153</v>
      </c>
      <c r="J196" s="6">
        <v>46195</v>
      </c>
      <c r="K196" s="7">
        <v>6</v>
      </c>
      <c r="L196" s="7">
        <v>43</v>
      </c>
      <c r="M196" s="10" t="s">
        <v>366</v>
      </c>
      <c r="N196" s="8" t="s">
        <v>18</v>
      </c>
      <c r="O196" s="9" t="s">
        <v>407</v>
      </c>
    </row>
    <row r="197" spans="1:15" ht="100.8" x14ac:dyDescent="0.3">
      <c r="A197" s="3" t="s">
        <v>343</v>
      </c>
      <c r="B197" s="3" t="s">
        <v>408</v>
      </c>
      <c r="C197" s="3" t="str">
        <f>MID(Tabla1[[#This Row],[CodMovilidad]],6,3)</f>
        <v>031</v>
      </c>
      <c r="D197" s="3" t="s">
        <v>51</v>
      </c>
      <c r="E197" s="4" t="s">
        <v>15</v>
      </c>
      <c r="F197" s="3">
        <v>1</v>
      </c>
      <c r="G197" s="4" t="s">
        <v>371</v>
      </c>
      <c r="H197" s="5">
        <v>2</v>
      </c>
      <c r="I197" s="6">
        <v>46153</v>
      </c>
      <c r="J197" s="6">
        <v>46195</v>
      </c>
      <c r="K197" s="7">
        <v>6</v>
      </c>
      <c r="L197" s="7">
        <v>43</v>
      </c>
      <c r="M197" s="10" t="s">
        <v>352</v>
      </c>
      <c r="N197" s="8" t="s">
        <v>18</v>
      </c>
      <c r="O197" s="9" t="s">
        <v>409</v>
      </c>
    </row>
    <row r="198" spans="1:15" ht="100.8" x14ac:dyDescent="0.3">
      <c r="A198" s="3" t="s">
        <v>343</v>
      </c>
      <c r="B198" s="3" t="s">
        <v>410</v>
      </c>
      <c r="C198" s="3" t="str">
        <f>MID(Tabla1[[#This Row],[CodMovilidad]],6,3)</f>
        <v>032</v>
      </c>
      <c r="D198" s="3" t="s">
        <v>51</v>
      </c>
      <c r="E198" s="4" t="s">
        <v>15</v>
      </c>
      <c r="F198" s="3">
        <v>1</v>
      </c>
      <c r="G198" s="4" t="s">
        <v>371</v>
      </c>
      <c r="H198" s="5">
        <v>2</v>
      </c>
      <c r="I198" s="6">
        <v>46153</v>
      </c>
      <c r="J198" s="6">
        <v>46195</v>
      </c>
      <c r="K198" s="7">
        <v>6</v>
      </c>
      <c r="L198" s="7">
        <v>43</v>
      </c>
      <c r="M198" s="10" t="s">
        <v>345</v>
      </c>
      <c r="N198" s="8" t="s">
        <v>18</v>
      </c>
      <c r="O198" s="9" t="s">
        <v>411</v>
      </c>
    </row>
    <row r="199" spans="1:15" ht="100.8" x14ac:dyDescent="0.3">
      <c r="A199" s="3" t="s">
        <v>343</v>
      </c>
      <c r="B199" s="3" t="s">
        <v>412</v>
      </c>
      <c r="C199" s="3" t="str">
        <f>MID(Tabla1[[#This Row],[CodMovilidad]],6,3)</f>
        <v>033</v>
      </c>
      <c r="D199" s="3" t="s">
        <v>51</v>
      </c>
      <c r="E199" s="4" t="s">
        <v>29</v>
      </c>
      <c r="F199" s="3">
        <v>2</v>
      </c>
      <c r="G199" s="4" t="s">
        <v>30</v>
      </c>
      <c r="H199" s="5">
        <v>7</v>
      </c>
      <c r="I199" s="6">
        <v>46113</v>
      </c>
      <c r="J199" s="6">
        <v>46155</v>
      </c>
      <c r="K199" s="7">
        <v>6</v>
      </c>
      <c r="L199" s="7">
        <v>43</v>
      </c>
      <c r="M199" s="10" t="s">
        <v>380</v>
      </c>
      <c r="N199" s="8" t="s">
        <v>52</v>
      </c>
      <c r="O199" s="9" t="s">
        <v>413</v>
      </c>
    </row>
    <row r="200" spans="1:15" ht="100.8" x14ac:dyDescent="0.3">
      <c r="A200" s="3" t="s">
        <v>343</v>
      </c>
      <c r="B200" s="3" t="s">
        <v>414</v>
      </c>
      <c r="C200" s="3" t="str">
        <f>MID(Tabla1[[#This Row],[CodMovilidad]],6,3)</f>
        <v>034</v>
      </c>
      <c r="D200" s="3" t="s">
        <v>51</v>
      </c>
      <c r="E200" s="4" t="s">
        <v>29</v>
      </c>
      <c r="F200" s="3">
        <v>2</v>
      </c>
      <c r="G200" s="4" t="s">
        <v>30</v>
      </c>
      <c r="H200" s="5">
        <v>3</v>
      </c>
      <c r="I200" s="6">
        <v>46113</v>
      </c>
      <c r="J200" s="6">
        <v>46155</v>
      </c>
      <c r="K200" s="7">
        <v>6</v>
      </c>
      <c r="L200" s="7">
        <v>43</v>
      </c>
      <c r="M200" s="10" t="s">
        <v>345</v>
      </c>
      <c r="N200" s="8" t="s">
        <v>18</v>
      </c>
      <c r="O200" s="9" t="s">
        <v>415</v>
      </c>
    </row>
    <row r="201" spans="1:15" ht="100.8" x14ac:dyDescent="0.3">
      <c r="A201" s="3" t="s">
        <v>343</v>
      </c>
      <c r="B201" s="3" t="s">
        <v>416</v>
      </c>
      <c r="C201" s="3" t="str">
        <f>MID(Tabla1[[#This Row],[CodMovilidad]],6,3)</f>
        <v>035</v>
      </c>
      <c r="D201" s="3" t="s">
        <v>51</v>
      </c>
      <c r="E201" s="4" t="s">
        <v>29</v>
      </c>
      <c r="F201" s="3">
        <v>2</v>
      </c>
      <c r="G201" s="4" t="s">
        <v>30</v>
      </c>
      <c r="H201" s="5">
        <v>1</v>
      </c>
      <c r="I201" s="6">
        <v>46113</v>
      </c>
      <c r="J201" s="6">
        <v>46155</v>
      </c>
      <c r="K201" s="7">
        <v>6</v>
      </c>
      <c r="L201" s="7">
        <v>43</v>
      </c>
      <c r="M201" s="10" t="s">
        <v>352</v>
      </c>
      <c r="N201" s="8" t="s">
        <v>18</v>
      </c>
      <c r="O201" s="9" t="s">
        <v>417</v>
      </c>
    </row>
    <row r="202" spans="1:15" ht="100.8" x14ac:dyDescent="0.3">
      <c r="A202" s="3" t="s">
        <v>343</v>
      </c>
      <c r="B202" s="3" t="s">
        <v>418</v>
      </c>
      <c r="C202" s="3" t="str">
        <f>MID(Tabla1[[#This Row],[CodMovilidad]],6,3)</f>
        <v>036</v>
      </c>
      <c r="D202" s="3" t="s">
        <v>51</v>
      </c>
      <c r="E202" s="4" t="s">
        <v>29</v>
      </c>
      <c r="F202" s="3">
        <v>2</v>
      </c>
      <c r="G202" s="4" t="s">
        <v>30</v>
      </c>
      <c r="H202" s="5">
        <v>2</v>
      </c>
      <c r="I202" s="6">
        <v>46113</v>
      </c>
      <c r="J202" s="6">
        <v>46155</v>
      </c>
      <c r="K202" s="7">
        <v>6</v>
      </c>
      <c r="L202" s="7">
        <v>43</v>
      </c>
      <c r="M202" s="10" t="s">
        <v>419</v>
      </c>
      <c r="N202" s="8" t="s">
        <v>52</v>
      </c>
      <c r="O202" s="9" t="s">
        <v>420</v>
      </c>
    </row>
    <row r="203" spans="1:15" ht="100.8" x14ac:dyDescent="0.3">
      <c r="A203" s="3" t="s">
        <v>343</v>
      </c>
      <c r="B203" s="3" t="s">
        <v>421</v>
      </c>
      <c r="C203" s="3" t="str">
        <f>MID(Tabla1[[#This Row],[CodMovilidad]],6,3)</f>
        <v>037</v>
      </c>
      <c r="D203" s="3" t="s">
        <v>51</v>
      </c>
      <c r="E203" s="4" t="s">
        <v>29</v>
      </c>
      <c r="F203" s="3">
        <v>2</v>
      </c>
      <c r="G203" s="4" t="s">
        <v>30</v>
      </c>
      <c r="H203" s="5">
        <v>2</v>
      </c>
      <c r="I203" s="6">
        <v>46113</v>
      </c>
      <c r="J203" s="6">
        <v>46155</v>
      </c>
      <c r="K203" s="7">
        <v>6</v>
      </c>
      <c r="L203" s="7">
        <v>43</v>
      </c>
      <c r="M203" s="10" t="s">
        <v>360</v>
      </c>
      <c r="N203" s="8" t="s">
        <v>18</v>
      </c>
      <c r="O203" s="9" t="s">
        <v>422</v>
      </c>
    </row>
    <row r="204" spans="1:15" ht="115.2" x14ac:dyDescent="0.3">
      <c r="A204" s="3" t="s">
        <v>343</v>
      </c>
      <c r="B204" s="3" t="s">
        <v>423</v>
      </c>
      <c r="C204" s="3" t="str">
        <f>MID(Tabla1[[#This Row],[CodMovilidad]],6,3)</f>
        <v>038</v>
      </c>
      <c r="D204" s="3" t="s">
        <v>51</v>
      </c>
      <c r="E204" s="4" t="s">
        <v>29</v>
      </c>
      <c r="F204" s="3">
        <v>2</v>
      </c>
      <c r="G204" s="4" t="s">
        <v>30</v>
      </c>
      <c r="H204" s="5">
        <v>1</v>
      </c>
      <c r="I204" s="6">
        <v>46113</v>
      </c>
      <c r="J204" s="6">
        <v>46155</v>
      </c>
      <c r="K204" s="7">
        <v>6</v>
      </c>
      <c r="L204" s="7">
        <v>43</v>
      </c>
      <c r="M204" s="10" t="s">
        <v>424</v>
      </c>
      <c r="N204" s="8" t="s">
        <v>18</v>
      </c>
      <c r="O204" s="9" t="s">
        <v>425</v>
      </c>
    </row>
    <row r="205" spans="1:15" ht="115.2" x14ac:dyDescent="0.3">
      <c r="A205" s="3" t="s">
        <v>343</v>
      </c>
      <c r="B205" s="3" t="s">
        <v>426</v>
      </c>
      <c r="C205" s="3" t="str">
        <f>MID(Tabla1[[#This Row],[CodMovilidad]],6,3)</f>
        <v>039</v>
      </c>
      <c r="D205" s="3" t="s">
        <v>51</v>
      </c>
      <c r="E205" s="4" t="s">
        <v>29</v>
      </c>
      <c r="F205" s="3">
        <v>2</v>
      </c>
      <c r="G205" s="4" t="s">
        <v>30</v>
      </c>
      <c r="H205" s="5">
        <v>2</v>
      </c>
      <c r="I205" s="6">
        <v>46113</v>
      </c>
      <c r="J205" s="6">
        <v>46155</v>
      </c>
      <c r="K205" s="7">
        <v>6</v>
      </c>
      <c r="L205" s="7">
        <v>43</v>
      </c>
      <c r="M205" s="10" t="s">
        <v>427</v>
      </c>
      <c r="N205" s="8" t="s">
        <v>52</v>
      </c>
      <c r="O205" s="9" t="s">
        <v>428</v>
      </c>
    </row>
    <row r="206" spans="1:15" ht="115.2" x14ac:dyDescent="0.3">
      <c r="A206" s="3" t="s">
        <v>343</v>
      </c>
      <c r="B206" s="3" t="s">
        <v>429</v>
      </c>
      <c r="C206" s="3" t="str">
        <f>MID(Tabla1[[#This Row],[CodMovilidad]],6,3)</f>
        <v>040</v>
      </c>
      <c r="D206" s="3" t="s">
        <v>51</v>
      </c>
      <c r="E206" s="4" t="s">
        <v>29</v>
      </c>
      <c r="F206" s="3">
        <v>2</v>
      </c>
      <c r="G206" s="4" t="s">
        <v>30</v>
      </c>
      <c r="H206" s="5">
        <v>1</v>
      </c>
      <c r="I206" s="6">
        <v>46113</v>
      </c>
      <c r="J206" s="6">
        <v>46155</v>
      </c>
      <c r="K206" s="7">
        <v>6</v>
      </c>
      <c r="L206" s="7">
        <v>43</v>
      </c>
      <c r="M206" s="10" t="s">
        <v>366</v>
      </c>
      <c r="N206" s="8" t="s">
        <v>18</v>
      </c>
      <c r="O206" s="9" t="s">
        <v>430</v>
      </c>
    </row>
    <row r="207" spans="1:15" ht="115.2" x14ac:dyDescent="0.3">
      <c r="A207" s="3" t="s">
        <v>343</v>
      </c>
      <c r="B207" s="3" t="s">
        <v>431</v>
      </c>
      <c r="C207" s="3" t="str">
        <f>MID(Tabla1[[#This Row],[CodMovilidad]],6,3)</f>
        <v>041</v>
      </c>
      <c r="D207" s="3" t="s">
        <v>51</v>
      </c>
      <c r="E207" s="4" t="s">
        <v>29</v>
      </c>
      <c r="F207" s="3">
        <v>2</v>
      </c>
      <c r="G207" s="4" t="s">
        <v>30</v>
      </c>
      <c r="H207" s="5">
        <v>7</v>
      </c>
      <c r="I207" s="6">
        <v>46121</v>
      </c>
      <c r="J207" s="6">
        <v>46163</v>
      </c>
      <c r="K207" s="7">
        <v>6</v>
      </c>
      <c r="L207" s="7">
        <v>43</v>
      </c>
      <c r="M207" s="10" t="s">
        <v>380</v>
      </c>
      <c r="N207" s="8" t="s">
        <v>52</v>
      </c>
      <c r="O207" s="9" t="s">
        <v>432</v>
      </c>
    </row>
    <row r="208" spans="1:15" ht="100.8" x14ac:dyDescent="0.3">
      <c r="A208" s="3" t="s">
        <v>343</v>
      </c>
      <c r="B208" s="3" t="s">
        <v>433</v>
      </c>
      <c r="C208" s="3" t="str">
        <f>MID(Tabla1[[#This Row],[CodMovilidad]],6,3)</f>
        <v>042</v>
      </c>
      <c r="D208" s="3" t="s">
        <v>51</v>
      </c>
      <c r="E208" s="4" t="s">
        <v>29</v>
      </c>
      <c r="F208" s="3">
        <v>2</v>
      </c>
      <c r="G208" s="4" t="s">
        <v>30</v>
      </c>
      <c r="H208" s="5">
        <v>3</v>
      </c>
      <c r="I208" s="6">
        <v>46121</v>
      </c>
      <c r="J208" s="6">
        <v>46163</v>
      </c>
      <c r="K208" s="7">
        <v>6</v>
      </c>
      <c r="L208" s="7">
        <v>43</v>
      </c>
      <c r="M208" s="10" t="s">
        <v>345</v>
      </c>
      <c r="N208" s="8" t="s">
        <v>18</v>
      </c>
      <c r="O208" s="9" t="s">
        <v>415</v>
      </c>
    </row>
    <row r="209" spans="1:15" ht="100.8" x14ac:dyDescent="0.3">
      <c r="A209" s="3" t="s">
        <v>343</v>
      </c>
      <c r="B209" s="3" t="s">
        <v>434</v>
      </c>
      <c r="C209" s="3" t="str">
        <f>MID(Tabla1[[#This Row],[CodMovilidad]],6,3)</f>
        <v>043</v>
      </c>
      <c r="D209" s="3" t="s">
        <v>51</v>
      </c>
      <c r="E209" s="4" t="s">
        <v>29</v>
      </c>
      <c r="F209" s="3">
        <v>2</v>
      </c>
      <c r="G209" s="4" t="s">
        <v>30</v>
      </c>
      <c r="H209" s="5">
        <v>1</v>
      </c>
      <c r="I209" s="6">
        <v>46121</v>
      </c>
      <c r="J209" s="6">
        <v>46163</v>
      </c>
      <c r="K209" s="7">
        <v>6</v>
      </c>
      <c r="L209" s="7">
        <v>43</v>
      </c>
      <c r="M209" s="10" t="s">
        <v>352</v>
      </c>
      <c r="N209" s="8" t="s">
        <v>18</v>
      </c>
      <c r="O209" s="9" t="s">
        <v>417</v>
      </c>
    </row>
    <row r="210" spans="1:15" ht="100.8" x14ac:dyDescent="0.3">
      <c r="A210" s="3" t="s">
        <v>343</v>
      </c>
      <c r="B210" s="3" t="s">
        <v>435</v>
      </c>
      <c r="C210" s="3" t="str">
        <f>MID(Tabla1[[#This Row],[CodMovilidad]],6,3)</f>
        <v>044</v>
      </c>
      <c r="D210" s="3" t="s">
        <v>51</v>
      </c>
      <c r="E210" s="4" t="s">
        <v>29</v>
      </c>
      <c r="F210" s="3">
        <v>2</v>
      </c>
      <c r="G210" s="4" t="s">
        <v>30</v>
      </c>
      <c r="H210" s="5">
        <v>2</v>
      </c>
      <c r="I210" s="6">
        <v>46121</v>
      </c>
      <c r="J210" s="6">
        <v>46163</v>
      </c>
      <c r="K210" s="7">
        <v>6</v>
      </c>
      <c r="L210" s="7">
        <v>43</v>
      </c>
      <c r="M210" s="10" t="s">
        <v>419</v>
      </c>
      <c r="N210" s="8" t="s">
        <v>52</v>
      </c>
      <c r="O210" s="9" t="s">
        <v>420</v>
      </c>
    </row>
    <row r="211" spans="1:15" ht="100.8" x14ac:dyDescent="0.3">
      <c r="A211" s="3" t="s">
        <v>343</v>
      </c>
      <c r="B211" s="3" t="s">
        <v>436</v>
      </c>
      <c r="C211" s="3" t="str">
        <f>MID(Tabla1[[#This Row],[CodMovilidad]],6,3)</f>
        <v>045</v>
      </c>
      <c r="D211" s="3" t="s">
        <v>51</v>
      </c>
      <c r="E211" s="4" t="s">
        <v>29</v>
      </c>
      <c r="F211" s="3">
        <v>2</v>
      </c>
      <c r="G211" s="4" t="s">
        <v>30</v>
      </c>
      <c r="H211" s="5">
        <v>2</v>
      </c>
      <c r="I211" s="6">
        <v>46121</v>
      </c>
      <c r="J211" s="6">
        <v>46163</v>
      </c>
      <c r="K211" s="7">
        <v>6</v>
      </c>
      <c r="L211" s="7">
        <v>43</v>
      </c>
      <c r="M211" s="10" t="s">
        <v>360</v>
      </c>
      <c r="N211" s="8" t="s">
        <v>18</v>
      </c>
      <c r="O211" s="9" t="s">
        <v>422</v>
      </c>
    </row>
    <row r="212" spans="1:15" ht="115.2" x14ac:dyDescent="0.3">
      <c r="A212" s="3" t="s">
        <v>343</v>
      </c>
      <c r="B212" s="3" t="s">
        <v>437</v>
      </c>
      <c r="C212" s="3" t="str">
        <f>MID(Tabla1[[#This Row],[CodMovilidad]],6,3)</f>
        <v>046</v>
      </c>
      <c r="D212" s="3" t="s">
        <v>51</v>
      </c>
      <c r="E212" s="4" t="s">
        <v>29</v>
      </c>
      <c r="F212" s="3">
        <v>2</v>
      </c>
      <c r="G212" s="4" t="s">
        <v>30</v>
      </c>
      <c r="H212" s="5">
        <v>1</v>
      </c>
      <c r="I212" s="6">
        <v>46121</v>
      </c>
      <c r="J212" s="6">
        <v>46163</v>
      </c>
      <c r="K212" s="7">
        <v>6</v>
      </c>
      <c r="L212" s="7">
        <v>43</v>
      </c>
      <c r="M212" s="10" t="s">
        <v>424</v>
      </c>
      <c r="N212" s="8" t="s">
        <v>18</v>
      </c>
      <c r="O212" s="9" t="s">
        <v>425</v>
      </c>
    </row>
    <row r="213" spans="1:15" ht="115.2" x14ac:dyDescent="0.3">
      <c r="A213" s="3" t="s">
        <v>343</v>
      </c>
      <c r="B213" s="3" t="s">
        <v>438</v>
      </c>
      <c r="C213" s="3" t="str">
        <f>MID(Tabla1[[#This Row],[CodMovilidad]],6,3)</f>
        <v>047</v>
      </c>
      <c r="D213" s="3" t="s">
        <v>51</v>
      </c>
      <c r="E213" s="4" t="s">
        <v>29</v>
      </c>
      <c r="F213" s="3">
        <v>2</v>
      </c>
      <c r="G213" s="4" t="s">
        <v>30</v>
      </c>
      <c r="H213" s="5">
        <v>2</v>
      </c>
      <c r="I213" s="6">
        <v>46121</v>
      </c>
      <c r="J213" s="6">
        <v>46163</v>
      </c>
      <c r="K213" s="7">
        <v>6</v>
      </c>
      <c r="L213" s="7">
        <v>43</v>
      </c>
      <c r="M213" s="10" t="s">
        <v>427</v>
      </c>
      <c r="N213" s="8" t="s">
        <v>52</v>
      </c>
      <c r="O213" s="9" t="s">
        <v>428</v>
      </c>
    </row>
    <row r="214" spans="1:15" ht="115.2" x14ac:dyDescent="0.3">
      <c r="A214" s="3" t="s">
        <v>343</v>
      </c>
      <c r="B214" s="3" t="s">
        <v>439</v>
      </c>
      <c r="C214" s="3" t="str">
        <f>MID(Tabla1[[#This Row],[CodMovilidad]],6,3)</f>
        <v>048</v>
      </c>
      <c r="D214" s="3" t="s">
        <v>51</v>
      </c>
      <c r="E214" s="4" t="s">
        <v>29</v>
      </c>
      <c r="F214" s="3">
        <v>2</v>
      </c>
      <c r="G214" s="4" t="s">
        <v>30</v>
      </c>
      <c r="H214" s="5">
        <v>1</v>
      </c>
      <c r="I214" s="6">
        <v>46121</v>
      </c>
      <c r="J214" s="6">
        <v>46163</v>
      </c>
      <c r="K214" s="7">
        <v>6</v>
      </c>
      <c r="L214" s="7">
        <v>43</v>
      </c>
      <c r="M214" s="10" t="s">
        <v>366</v>
      </c>
      <c r="N214" s="8" t="s">
        <v>18</v>
      </c>
      <c r="O214" s="9" t="s">
        <v>430</v>
      </c>
    </row>
    <row r="215" spans="1:15" ht="115.2" x14ac:dyDescent="0.3">
      <c r="A215" s="3" t="s">
        <v>343</v>
      </c>
      <c r="B215" s="3" t="s">
        <v>440</v>
      </c>
      <c r="C215" s="3" t="str">
        <f>MID(Tabla1[[#This Row],[CodMovilidad]],6,3)</f>
        <v>049</v>
      </c>
      <c r="D215" s="3" t="s">
        <v>51</v>
      </c>
      <c r="E215" s="4" t="s">
        <v>29</v>
      </c>
      <c r="F215" s="3">
        <v>2</v>
      </c>
      <c r="G215" s="4" t="s">
        <v>30</v>
      </c>
      <c r="H215" s="5">
        <v>7</v>
      </c>
      <c r="I215" s="6">
        <v>46128</v>
      </c>
      <c r="J215" s="6">
        <v>46170</v>
      </c>
      <c r="K215" s="7">
        <v>6</v>
      </c>
      <c r="L215" s="7">
        <v>43</v>
      </c>
      <c r="M215" s="10" t="s">
        <v>380</v>
      </c>
      <c r="N215" s="8" t="s">
        <v>52</v>
      </c>
      <c r="O215" s="9" t="s">
        <v>432</v>
      </c>
    </row>
    <row r="216" spans="1:15" ht="100.8" x14ac:dyDescent="0.3">
      <c r="A216" s="3" t="s">
        <v>343</v>
      </c>
      <c r="B216" s="3" t="s">
        <v>441</v>
      </c>
      <c r="C216" s="3" t="str">
        <f>MID(Tabla1[[#This Row],[CodMovilidad]],6,3)</f>
        <v>050</v>
      </c>
      <c r="D216" s="3" t="s">
        <v>51</v>
      </c>
      <c r="E216" s="4" t="s">
        <v>29</v>
      </c>
      <c r="F216" s="3">
        <v>2</v>
      </c>
      <c r="G216" s="4" t="s">
        <v>30</v>
      </c>
      <c r="H216" s="5">
        <v>3</v>
      </c>
      <c r="I216" s="6">
        <v>46128</v>
      </c>
      <c r="J216" s="6">
        <v>46170</v>
      </c>
      <c r="K216" s="7">
        <v>6</v>
      </c>
      <c r="L216" s="7">
        <v>43</v>
      </c>
      <c r="M216" s="10" t="s">
        <v>345</v>
      </c>
      <c r="N216" s="8" t="s">
        <v>18</v>
      </c>
      <c r="O216" s="9" t="s">
        <v>415</v>
      </c>
    </row>
    <row r="217" spans="1:15" ht="100.8" x14ac:dyDescent="0.3">
      <c r="A217" s="3" t="s">
        <v>343</v>
      </c>
      <c r="B217" s="3" t="s">
        <v>442</v>
      </c>
      <c r="C217" s="3" t="str">
        <f>MID(Tabla1[[#This Row],[CodMovilidad]],6,3)</f>
        <v>051</v>
      </c>
      <c r="D217" s="3" t="s">
        <v>51</v>
      </c>
      <c r="E217" s="4" t="s">
        <v>29</v>
      </c>
      <c r="F217" s="3">
        <v>2</v>
      </c>
      <c r="G217" s="4" t="s">
        <v>30</v>
      </c>
      <c r="H217" s="5">
        <v>1</v>
      </c>
      <c r="I217" s="6">
        <v>46128</v>
      </c>
      <c r="J217" s="6">
        <v>46170</v>
      </c>
      <c r="K217" s="7">
        <v>6</v>
      </c>
      <c r="L217" s="7">
        <v>43</v>
      </c>
      <c r="M217" s="10" t="s">
        <v>352</v>
      </c>
      <c r="N217" s="8" t="s">
        <v>18</v>
      </c>
      <c r="O217" s="9" t="s">
        <v>417</v>
      </c>
    </row>
    <row r="218" spans="1:15" ht="100.8" x14ac:dyDescent="0.3">
      <c r="A218" s="3" t="s">
        <v>343</v>
      </c>
      <c r="B218" s="3" t="s">
        <v>443</v>
      </c>
      <c r="C218" s="3" t="str">
        <f>MID(Tabla1[[#This Row],[CodMovilidad]],6,3)</f>
        <v>052</v>
      </c>
      <c r="D218" s="3" t="s">
        <v>51</v>
      </c>
      <c r="E218" s="4" t="s">
        <v>29</v>
      </c>
      <c r="F218" s="3">
        <v>2</v>
      </c>
      <c r="G218" s="4" t="s">
        <v>30</v>
      </c>
      <c r="H218" s="5">
        <v>2</v>
      </c>
      <c r="I218" s="6">
        <v>46128</v>
      </c>
      <c r="J218" s="6">
        <v>46170</v>
      </c>
      <c r="K218" s="7">
        <v>6</v>
      </c>
      <c r="L218" s="7">
        <v>43</v>
      </c>
      <c r="M218" s="10" t="s">
        <v>419</v>
      </c>
      <c r="N218" s="8" t="s">
        <v>52</v>
      </c>
      <c r="O218" s="9" t="s">
        <v>420</v>
      </c>
    </row>
    <row r="219" spans="1:15" ht="100.8" x14ac:dyDescent="0.3">
      <c r="A219" s="3" t="s">
        <v>343</v>
      </c>
      <c r="B219" s="3" t="s">
        <v>444</v>
      </c>
      <c r="C219" s="3" t="str">
        <f>MID(Tabla1[[#This Row],[CodMovilidad]],6,3)</f>
        <v>053</v>
      </c>
      <c r="D219" s="3" t="s">
        <v>51</v>
      </c>
      <c r="E219" s="4" t="s">
        <v>29</v>
      </c>
      <c r="F219" s="3">
        <v>2</v>
      </c>
      <c r="G219" s="4" t="s">
        <v>30</v>
      </c>
      <c r="H219" s="5">
        <v>2</v>
      </c>
      <c r="I219" s="6">
        <v>46128</v>
      </c>
      <c r="J219" s="6">
        <v>46170</v>
      </c>
      <c r="K219" s="7">
        <v>6</v>
      </c>
      <c r="L219" s="7">
        <v>43</v>
      </c>
      <c r="M219" s="10" t="s">
        <v>360</v>
      </c>
      <c r="N219" s="8" t="s">
        <v>18</v>
      </c>
      <c r="O219" s="9" t="s">
        <v>422</v>
      </c>
    </row>
    <row r="220" spans="1:15" ht="115.2" x14ac:dyDescent="0.3">
      <c r="A220" s="3" t="s">
        <v>343</v>
      </c>
      <c r="B220" s="3" t="s">
        <v>445</v>
      </c>
      <c r="C220" s="3" t="str">
        <f>MID(Tabla1[[#This Row],[CodMovilidad]],6,3)</f>
        <v>054</v>
      </c>
      <c r="D220" s="3" t="s">
        <v>51</v>
      </c>
      <c r="E220" s="4" t="s">
        <v>29</v>
      </c>
      <c r="F220" s="3">
        <v>2</v>
      </c>
      <c r="G220" s="4" t="s">
        <v>30</v>
      </c>
      <c r="H220" s="5">
        <v>1</v>
      </c>
      <c r="I220" s="6">
        <v>46128</v>
      </c>
      <c r="J220" s="6">
        <v>46170</v>
      </c>
      <c r="K220" s="7">
        <v>6</v>
      </c>
      <c r="L220" s="7">
        <v>43</v>
      </c>
      <c r="M220" s="10" t="s">
        <v>424</v>
      </c>
      <c r="N220" s="8" t="s">
        <v>18</v>
      </c>
      <c r="O220" s="9" t="s">
        <v>425</v>
      </c>
    </row>
    <row r="221" spans="1:15" ht="115.2" x14ac:dyDescent="0.3">
      <c r="A221" s="3" t="s">
        <v>343</v>
      </c>
      <c r="B221" s="3" t="s">
        <v>446</v>
      </c>
      <c r="C221" s="3" t="str">
        <f>MID(Tabla1[[#This Row],[CodMovilidad]],6,3)</f>
        <v>055</v>
      </c>
      <c r="D221" s="3" t="s">
        <v>51</v>
      </c>
      <c r="E221" s="4" t="s">
        <v>29</v>
      </c>
      <c r="F221" s="3">
        <v>2</v>
      </c>
      <c r="G221" s="4" t="s">
        <v>30</v>
      </c>
      <c r="H221" s="5">
        <v>2</v>
      </c>
      <c r="I221" s="6">
        <v>46128</v>
      </c>
      <c r="J221" s="6">
        <v>46170</v>
      </c>
      <c r="K221" s="7">
        <v>6</v>
      </c>
      <c r="L221" s="7">
        <v>43</v>
      </c>
      <c r="M221" s="10" t="s">
        <v>427</v>
      </c>
      <c r="N221" s="8" t="s">
        <v>52</v>
      </c>
      <c r="O221" s="9" t="s">
        <v>428</v>
      </c>
    </row>
    <row r="222" spans="1:15" ht="115.2" x14ac:dyDescent="0.3">
      <c r="A222" s="3" t="s">
        <v>343</v>
      </c>
      <c r="B222" s="3" t="s">
        <v>447</v>
      </c>
      <c r="C222" s="3" t="str">
        <f>MID(Tabla1[[#This Row],[CodMovilidad]],6,3)</f>
        <v>056</v>
      </c>
      <c r="D222" s="3" t="s">
        <v>51</v>
      </c>
      <c r="E222" s="4" t="s">
        <v>29</v>
      </c>
      <c r="F222" s="3">
        <v>2</v>
      </c>
      <c r="G222" s="4" t="s">
        <v>30</v>
      </c>
      <c r="H222" s="5">
        <v>1</v>
      </c>
      <c r="I222" s="6">
        <v>46128</v>
      </c>
      <c r="J222" s="6">
        <v>46170</v>
      </c>
      <c r="K222" s="7">
        <v>6</v>
      </c>
      <c r="L222" s="7">
        <v>43</v>
      </c>
      <c r="M222" s="10" t="s">
        <v>366</v>
      </c>
      <c r="N222" s="8" t="s">
        <v>18</v>
      </c>
      <c r="O222" s="9" t="s">
        <v>430</v>
      </c>
    </row>
    <row r="223" spans="1:15" ht="115.2" x14ac:dyDescent="0.3">
      <c r="A223" s="3" t="s">
        <v>343</v>
      </c>
      <c r="B223" s="3" t="s">
        <v>448</v>
      </c>
      <c r="C223" s="3" t="str">
        <f>MID(Tabla1[[#This Row],[CodMovilidad]],6,3)</f>
        <v>057</v>
      </c>
      <c r="D223" s="3" t="s">
        <v>51</v>
      </c>
      <c r="E223" s="4" t="s">
        <v>33</v>
      </c>
      <c r="F223" s="3">
        <v>2</v>
      </c>
      <c r="G223" s="4" t="s">
        <v>87</v>
      </c>
      <c r="H223" s="5">
        <v>2</v>
      </c>
      <c r="I223" s="6">
        <v>46111</v>
      </c>
      <c r="J223" s="6">
        <v>46153</v>
      </c>
      <c r="K223" s="7">
        <v>6</v>
      </c>
      <c r="L223" s="7">
        <v>43</v>
      </c>
      <c r="M223" s="10" t="s">
        <v>366</v>
      </c>
      <c r="N223" s="8" t="s">
        <v>18</v>
      </c>
      <c r="O223" s="9" t="s">
        <v>449</v>
      </c>
    </row>
    <row r="224" spans="1:15" ht="115.2" x14ac:dyDescent="0.3">
      <c r="A224" s="3" t="s">
        <v>343</v>
      </c>
      <c r="B224" s="3" t="s">
        <v>450</v>
      </c>
      <c r="C224" s="3" t="str">
        <f>MID(Tabla1[[#This Row],[CodMovilidad]],6,3)</f>
        <v>058</v>
      </c>
      <c r="D224" s="3" t="s">
        <v>51</v>
      </c>
      <c r="E224" s="4" t="s">
        <v>33</v>
      </c>
      <c r="F224" s="3">
        <v>2</v>
      </c>
      <c r="G224" s="4" t="s">
        <v>87</v>
      </c>
      <c r="H224" s="5">
        <v>2</v>
      </c>
      <c r="I224" s="6">
        <v>46111</v>
      </c>
      <c r="J224" s="6">
        <v>46153</v>
      </c>
      <c r="K224" s="7">
        <v>6</v>
      </c>
      <c r="L224" s="7">
        <v>43</v>
      </c>
      <c r="M224" s="10" t="s">
        <v>360</v>
      </c>
      <c r="N224" s="8" t="s">
        <v>18</v>
      </c>
      <c r="O224" s="9" t="s">
        <v>451</v>
      </c>
    </row>
    <row r="225" spans="1:15" ht="115.2" x14ac:dyDescent="0.3">
      <c r="A225" s="3" t="s">
        <v>343</v>
      </c>
      <c r="B225" s="3" t="s">
        <v>452</v>
      </c>
      <c r="C225" s="3" t="str">
        <f>MID(Tabla1[[#This Row],[CodMovilidad]],6,3)</f>
        <v>059</v>
      </c>
      <c r="D225" s="3" t="s">
        <v>51</v>
      </c>
      <c r="E225" s="4" t="s">
        <v>33</v>
      </c>
      <c r="F225" s="3">
        <v>2</v>
      </c>
      <c r="G225" s="4" t="s">
        <v>87</v>
      </c>
      <c r="H225" s="5">
        <v>2</v>
      </c>
      <c r="I225" s="6">
        <v>46111</v>
      </c>
      <c r="J225" s="6">
        <v>46153</v>
      </c>
      <c r="K225" s="7">
        <v>6</v>
      </c>
      <c r="L225" s="7">
        <v>43</v>
      </c>
      <c r="M225" s="10" t="s">
        <v>360</v>
      </c>
      <c r="N225" s="8" t="s">
        <v>18</v>
      </c>
      <c r="O225" s="9" t="s">
        <v>453</v>
      </c>
    </row>
    <row r="226" spans="1:15" ht="115.2" x14ac:dyDescent="0.3">
      <c r="A226" s="3" t="s">
        <v>343</v>
      </c>
      <c r="B226" s="3" t="s">
        <v>454</v>
      </c>
      <c r="C226" s="3" t="str">
        <f>MID(Tabla1[[#This Row],[CodMovilidad]],6,3)</f>
        <v>060</v>
      </c>
      <c r="D226" s="3" t="s">
        <v>51</v>
      </c>
      <c r="E226" s="4" t="s">
        <v>33</v>
      </c>
      <c r="F226" s="3">
        <v>2</v>
      </c>
      <c r="G226" s="4" t="s">
        <v>87</v>
      </c>
      <c r="H226" s="5">
        <v>2</v>
      </c>
      <c r="I226" s="6">
        <v>46111</v>
      </c>
      <c r="J226" s="6">
        <v>46153</v>
      </c>
      <c r="K226" s="7">
        <v>6</v>
      </c>
      <c r="L226" s="7">
        <v>43</v>
      </c>
      <c r="M226" s="10" t="s">
        <v>424</v>
      </c>
      <c r="N226" s="8" t="s">
        <v>18</v>
      </c>
      <c r="O226" s="9" t="s">
        <v>455</v>
      </c>
    </row>
    <row r="227" spans="1:15" ht="100.8" x14ac:dyDescent="0.3">
      <c r="A227" s="3" t="s">
        <v>343</v>
      </c>
      <c r="B227" s="3" t="s">
        <v>456</v>
      </c>
      <c r="C227" s="3" t="str">
        <f>MID(Tabla1[[#This Row],[CodMovilidad]],6,3)</f>
        <v>061</v>
      </c>
      <c r="D227" s="3" t="s">
        <v>51</v>
      </c>
      <c r="E227" s="4" t="s">
        <v>33</v>
      </c>
      <c r="F227" s="3">
        <v>2</v>
      </c>
      <c r="G227" s="4" t="s">
        <v>87</v>
      </c>
      <c r="H227" s="5">
        <v>2</v>
      </c>
      <c r="I227" s="6">
        <v>46111</v>
      </c>
      <c r="J227" s="6">
        <v>46153</v>
      </c>
      <c r="K227" s="7">
        <v>6</v>
      </c>
      <c r="L227" s="7">
        <v>43</v>
      </c>
      <c r="M227" s="10" t="s">
        <v>427</v>
      </c>
      <c r="N227" s="8" t="s">
        <v>18</v>
      </c>
      <c r="O227" s="9" t="s">
        <v>457</v>
      </c>
    </row>
    <row r="228" spans="1:15" ht="100.8" x14ac:dyDescent="0.3">
      <c r="A228" s="3" t="s">
        <v>343</v>
      </c>
      <c r="B228" s="3" t="s">
        <v>458</v>
      </c>
      <c r="C228" s="3" t="str">
        <f>MID(Tabla1[[#This Row],[CodMovilidad]],6,3)</f>
        <v>063</v>
      </c>
      <c r="D228" s="3" t="s">
        <v>51</v>
      </c>
      <c r="E228" s="4" t="s">
        <v>33</v>
      </c>
      <c r="F228" s="3">
        <v>2</v>
      </c>
      <c r="G228" s="4" t="s">
        <v>459</v>
      </c>
      <c r="H228" s="5">
        <v>5</v>
      </c>
      <c r="I228" s="6">
        <v>46111</v>
      </c>
      <c r="J228" s="6">
        <v>46153</v>
      </c>
      <c r="K228" s="7">
        <v>6</v>
      </c>
      <c r="L228" s="7">
        <v>43</v>
      </c>
      <c r="M228" s="10" t="s">
        <v>352</v>
      </c>
      <c r="N228" s="8" t="s">
        <v>18</v>
      </c>
      <c r="O228" s="9" t="s">
        <v>460</v>
      </c>
    </row>
    <row r="229" spans="1:15" ht="100.8" x14ac:dyDescent="0.3">
      <c r="A229" s="3" t="s">
        <v>343</v>
      </c>
      <c r="B229" s="3" t="s">
        <v>461</v>
      </c>
      <c r="C229" s="3" t="str">
        <f>MID(Tabla1[[#This Row],[CodMovilidad]],6,3)</f>
        <v>064</v>
      </c>
      <c r="D229" s="3" t="s">
        <v>51</v>
      </c>
      <c r="E229" s="4" t="s">
        <v>33</v>
      </c>
      <c r="F229" s="3">
        <v>2</v>
      </c>
      <c r="G229" s="4" t="s">
        <v>459</v>
      </c>
      <c r="H229" s="5">
        <v>3</v>
      </c>
      <c r="I229" s="6">
        <v>46111</v>
      </c>
      <c r="J229" s="6">
        <v>46153</v>
      </c>
      <c r="K229" s="7">
        <v>6</v>
      </c>
      <c r="L229" s="7">
        <v>43</v>
      </c>
      <c r="M229" s="10" t="s">
        <v>352</v>
      </c>
      <c r="N229" s="8" t="s">
        <v>18</v>
      </c>
      <c r="O229" s="9" t="s">
        <v>462</v>
      </c>
    </row>
    <row r="230" spans="1:15" ht="100.8" x14ac:dyDescent="0.3">
      <c r="A230" s="3" t="s">
        <v>343</v>
      </c>
      <c r="B230" s="3" t="s">
        <v>463</v>
      </c>
      <c r="C230" s="3" t="str">
        <f>MID(Tabla1[[#This Row],[CodMovilidad]],6,3)</f>
        <v>065</v>
      </c>
      <c r="D230" s="3" t="s">
        <v>51</v>
      </c>
      <c r="E230" s="4" t="s">
        <v>33</v>
      </c>
      <c r="F230" s="3">
        <v>2</v>
      </c>
      <c r="G230" s="4" t="s">
        <v>459</v>
      </c>
      <c r="H230" s="5">
        <v>2</v>
      </c>
      <c r="I230" s="6">
        <v>46111</v>
      </c>
      <c r="J230" s="6">
        <v>46153</v>
      </c>
      <c r="K230" s="7">
        <v>6</v>
      </c>
      <c r="L230" s="7">
        <v>43</v>
      </c>
      <c r="M230" s="10" t="s">
        <v>464</v>
      </c>
      <c r="N230" s="8" t="s">
        <v>18</v>
      </c>
      <c r="O230" s="9" t="s">
        <v>465</v>
      </c>
    </row>
    <row r="231" spans="1:15" ht="100.8" x14ac:dyDescent="0.3">
      <c r="A231" s="3" t="s">
        <v>343</v>
      </c>
      <c r="B231" s="3" t="s">
        <v>466</v>
      </c>
      <c r="C231" s="3" t="str">
        <f>MID(Tabla1[[#This Row],[CodMovilidad]],6,3)</f>
        <v>066</v>
      </c>
      <c r="D231" s="3" t="s">
        <v>51</v>
      </c>
      <c r="E231" s="4" t="s">
        <v>33</v>
      </c>
      <c r="F231" s="3">
        <v>2</v>
      </c>
      <c r="G231" s="4" t="s">
        <v>34</v>
      </c>
      <c r="H231" s="5">
        <v>5</v>
      </c>
      <c r="I231" s="6">
        <v>46096</v>
      </c>
      <c r="J231" s="6">
        <v>46138</v>
      </c>
      <c r="K231" s="7">
        <v>6</v>
      </c>
      <c r="L231" s="7">
        <v>43</v>
      </c>
      <c r="M231" s="10" t="s">
        <v>352</v>
      </c>
      <c r="N231" s="8" t="s">
        <v>18</v>
      </c>
      <c r="O231" s="9" t="s">
        <v>460</v>
      </c>
    </row>
    <row r="232" spans="1:15" ht="100.8" x14ac:dyDescent="0.3">
      <c r="A232" s="3" t="s">
        <v>343</v>
      </c>
      <c r="B232" s="3" t="s">
        <v>467</v>
      </c>
      <c r="C232" s="3" t="str">
        <f>MID(Tabla1[[#This Row],[CodMovilidad]],6,3)</f>
        <v>067</v>
      </c>
      <c r="D232" s="3" t="s">
        <v>51</v>
      </c>
      <c r="E232" s="4" t="s">
        <v>33</v>
      </c>
      <c r="F232" s="3">
        <v>2</v>
      </c>
      <c r="G232" s="4" t="s">
        <v>34</v>
      </c>
      <c r="H232" s="5">
        <v>3</v>
      </c>
      <c r="I232" s="6">
        <v>46096</v>
      </c>
      <c r="J232" s="6">
        <v>46138</v>
      </c>
      <c r="K232" s="7">
        <v>6</v>
      </c>
      <c r="L232" s="7">
        <v>43</v>
      </c>
      <c r="M232" s="10" t="s">
        <v>352</v>
      </c>
      <c r="N232" s="8" t="s">
        <v>18</v>
      </c>
      <c r="O232" s="9" t="s">
        <v>462</v>
      </c>
    </row>
    <row r="233" spans="1:15" ht="100.8" x14ac:dyDescent="0.3">
      <c r="A233" s="3" t="s">
        <v>343</v>
      </c>
      <c r="B233" s="3" t="s">
        <v>468</v>
      </c>
      <c r="C233" s="3" t="str">
        <f>MID(Tabla1[[#This Row],[CodMovilidad]],6,3)</f>
        <v>068</v>
      </c>
      <c r="D233" s="3" t="s">
        <v>51</v>
      </c>
      <c r="E233" s="4" t="s">
        <v>33</v>
      </c>
      <c r="F233" s="3">
        <v>2</v>
      </c>
      <c r="G233" s="4" t="s">
        <v>34</v>
      </c>
      <c r="H233" s="5">
        <v>2</v>
      </c>
      <c r="I233" s="6">
        <v>46096</v>
      </c>
      <c r="J233" s="6">
        <v>46138</v>
      </c>
      <c r="K233" s="7">
        <v>6</v>
      </c>
      <c r="L233" s="7">
        <v>43</v>
      </c>
      <c r="M233" s="10" t="s">
        <v>464</v>
      </c>
      <c r="N233" s="8" t="s">
        <v>18</v>
      </c>
      <c r="O233" s="9" t="s">
        <v>469</v>
      </c>
    </row>
    <row r="234" spans="1:15" ht="100.8" x14ac:dyDescent="0.3">
      <c r="A234" s="3" t="s">
        <v>343</v>
      </c>
      <c r="B234" s="3" t="s">
        <v>470</v>
      </c>
      <c r="C234" s="3" t="str">
        <f>MID(Tabla1[[#This Row],[CodMovilidad]],6,3)</f>
        <v>069</v>
      </c>
      <c r="D234" s="3" t="s">
        <v>51</v>
      </c>
      <c r="E234" s="4" t="s">
        <v>38</v>
      </c>
      <c r="F234" s="3">
        <v>3</v>
      </c>
      <c r="G234" s="4" t="s">
        <v>39</v>
      </c>
      <c r="H234" s="5">
        <v>1</v>
      </c>
      <c r="I234" s="6">
        <v>46104</v>
      </c>
      <c r="J234" s="6">
        <v>46132</v>
      </c>
      <c r="K234" s="7">
        <v>4</v>
      </c>
      <c r="L234" s="7">
        <v>29</v>
      </c>
      <c r="M234" s="10" t="s">
        <v>380</v>
      </c>
      <c r="N234" s="8" t="s">
        <v>18</v>
      </c>
      <c r="O234" s="9" t="s">
        <v>471</v>
      </c>
    </row>
    <row r="235" spans="1:15" ht="100.8" x14ac:dyDescent="0.3">
      <c r="A235" s="3" t="s">
        <v>343</v>
      </c>
      <c r="B235" s="3" t="s">
        <v>472</v>
      </c>
      <c r="C235" s="3" t="str">
        <f>MID(Tabla1[[#This Row],[CodMovilidad]],6,3)</f>
        <v>070</v>
      </c>
      <c r="D235" s="3" t="s">
        <v>51</v>
      </c>
      <c r="E235" s="4" t="s">
        <v>38</v>
      </c>
      <c r="F235" s="3">
        <v>3</v>
      </c>
      <c r="G235" s="4" t="s">
        <v>39</v>
      </c>
      <c r="H235" s="5">
        <v>5</v>
      </c>
      <c r="I235" s="6">
        <v>46104</v>
      </c>
      <c r="J235" s="6">
        <v>46132</v>
      </c>
      <c r="K235" s="7">
        <v>4</v>
      </c>
      <c r="L235" s="7">
        <v>29</v>
      </c>
      <c r="M235" s="10" t="s">
        <v>352</v>
      </c>
      <c r="N235" s="8" t="s">
        <v>18</v>
      </c>
      <c r="O235" s="9" t="s">
        <v>473</v>
      </c>
    </row>
    <row r="236" spans="1:15" ht="100.8" x14ac:dyDescent="0.3">
      <c r="A236" s="3" t="s">
        <v>343</v>
      </c>
      <c r="B236" s="3" t="s">
        <v>474</v>
      </c>
      <c r="C236" s="3" t="str">
        <f>MID(Tabla1[[#This Row],[CodMovilidad]],6,3)</f>
        <v>071</v>
      </c>
      <c r="D236" s="3" t="s">
        <v>51</v>
      </c>
      <c r="E236" s="4" t="s">
        <v>38</v>
      </c>
      <c r="F236" s="3">
        <v>3</v>
      </c>
      <c r="G236" s="4" t="s">
        <v>39</v>
      </c>
      <c r="H236" s="5">
        <v>5</v>
      </c>
      <c r="I236" s="6">
        <v>46104</v>
      </c>
      <c r="J236" s="6">
        <v>46132</v>
      </c>
      <c r="K236" s="7">
        <v>4</v>
      </c>
      <c r="L236" s="7">
        <v>29</v>
      </c>
      <c r="M236" s="10" t="s">
        <v>352</v>
      </c>
      <c r="N236" s="8" t="s">
        <v>18</v>
      </c>
      <c r="O236" s="9" t="s">
        <v>475</v>
      </c>
    </row>
    <row r="237" spans="1:15" ht="115.2" x14ac:dyDescent="0.3">
      <c r="A237" s="3" t="s">
        <v>343</v>
      </c>
      <c r="B237" s="3" t="s">
        <v>476</v>
      </c>
      <c r="C237" s="3" t="str">
        <f>MID(Tabla1[[#This Row],[CodMovilidad]],6,3)</f>
        <v>072</v>
      </c>
      <c r="D237" s="3" t="s">
        <v>51</v>
      </c>
      <c r="E237" s="4" t="s">
        <v>38</v>
      </c>
      <c r="F237" s="3">
        <v>3</v>
      </c>
      <c r="G237" s="4" t="s">
        <v>39</v>
      </c>
      <c r="H237" s="5">
        <v>1</v>
      </c>
      <c r="I237" s="6">
        <v>46104</v>
      </c>
      <c r="J237" s="6">
        <v>46132</v>
      </c>
      <c r="K237" s="7">
        <v>4</v>
      </c>
      <c r="L237" s="7">
        <v>29</v>
      </c>
      <c r="M237" s="10" t="s">
        <v>360</v>
      </c>
      <c r="N237" s="8" t="s">
        <v>18</v>
      </c>
      <c r="O237" s="9" t="s">
        <v>477</v>
      </c>
    </row>
    <row r="238" spans="1:15" ht="115.2" x14ac:dyDescent="0.3">
      <c r="A238" s="3" t="s">
        <v>343</v>
      </c>
      <c r="B238" s="3" t="s">
        <v>478</v>
      </c>
      <c r="C238" s="3" t="str">
        <f>MID(Tabla1[[#This Row],[CodMovilidad]],6,3)</f>
        <v>073</v>
      </c>
      <c r="D238" s="3" t="s">
        <v>51</v>
      </c>
      <c r="E238" s="4" t="s">
        <v>38</v>
      </c>
      <c r="F238" s="3">
        <v>3</v>
      </c>
      <c r="G238" s="4" t="s">
        <v>39</v>
      </c>
      <c r="H238" s="5">
        <v>1</v>
      </c>
      <c r="I238" s="6">
        <v>46104</v>
      </c>
      <c r="J238" s="6">
        <v>46132</v>
      </c>
      <c r="K238" s="7">
        <v>4</v>
      </c>
      <c r="L238" s="7">
        <v>29</v>
      </c>
      <c r="M238" s="10" t="s">
        <v>479</v>
      </c>
      <c r="N238" s="8" t="s">
        <v>18</v>
      </c>
      <c r="O238" s="9" t="s">
        <v>480</v>
      </c>
    </row>
    <row r="239" spans="1:15" ht="100.8" x14ac:dyDescent="0.3">
      <c r="A239" s="3" t="s">
        <v>343</v>
      </c>
      <c r="B239" s="3" t="s">
        <v>481</v>
      </c>
      <c r="C239" s="3" t="str">
        <f>MID(Tabla1[[#This Row],[CodMovilidad]],6,3)</f>
        <v>074</v>
      </c>
      <c r="D239" s="3" t="s">
        <v>51</v>
      </c>
      <c r="E239" s="4" t="s">
        <v>38</v>
      </c>
      <c r="F239" s="3">
        <v>3</v>
      </c>
      <c r="G239" s="4" t="s">
        <v>39</v>
      </c>
      <c r="H239" s="5">
        <v>2</v>
      </c>
      <c r="I239" s="6">
        <v>46104</v>
      </c>
      <c r="J239" s="6">
        <v>46132</v>
      </c>
      <c r="K239" s="7">
        <v>4</v>
      </c>
      <c r="L239" s="7">
        <v>29</v>
      </c>
      <c r="M239" s="10" t="s">
        <v>482</v>
      </c>
      <c r="N239" s="8" t="s">
        <v>18</v>
      </c>
      <c r="O239" s="9" t="s">
        <v>483</v>
      </c>
    </row>
    <row r="240" spans="1:15" ht="115.2" x14ac:dyDescent="0.3">
      <c r="A240" s="3" t="s">
        <v>343</v>
      </c>
      <c r="B240" s="3" t="s">
        <v>484</v>
      </c>
      <c r="C240" s="3" t="str">
        <f>MID(Tabla1[[#This Row],[CodMovilidad]],6,3)</f>
        <v>075</v>
      </c>
      <c r="D240" s="3" t="s">
        <v>51</v>
      </c>
      <c r="E240" s="4" t="s">
        <v>38</v>
      </c>
      <c r="F240" s="3">
        <v>3</v>
      </c>
      <c r="G240" s="4" t="s">
        <v>39</v>
      </c>
      <c r="H240" s="5">
        <v>2</v>
      </c>
      <c r="I240" s="6">
        <v>46104</v>
      </c>
      <c r="J240" s="6">
        <v>46132</v>
      </c>
      <c r="K240" s="7">
        <v>4</v>
      </c>
      <c r="L240" s="7">
        <v>29</v>
      </c>
      <c r="M240" s="10" t="s">
        <v>366</v>
      </c>
      <c r="N240" s="8" t="s">
        <v>18</v>
      </c>
      <c r="O240" s="9" t="s">
        <v>485</v>
      </c>
    </row>
    <row r="241" spans="1:15" ht="115.2" x14ac:dyDescent="0.3">
      <c r="A241" s="3" t="s">
        <v>343</v>
      </c>
      <c r="B241" s="3" t="s">
        <v>486</v>
      </c>
      <c r="C241" s="3" t="str">
        <f>MID(Tabla1[[#This Row],[CodMovilidad]],6,3)</f>
        <v>076</v>
      </c>
      <c r="D241" s="3" t="s">
        <v>51</v>
      </c>
      <c r="E241" s="4" t="s">
        <v>38</v>
      </c>
      <c r="F241" s="3">
        <v>3</v>
      </c>
      <c r="G241" s="4" t="s">
        <v>39</v>
      </c>
      <c r="H241" s="5">
        <v>1</v>
      </c>
      <c r="I241" s="6">
        <v>46104</v>
      </c>
      <c r="J241" s="6">
        <v>46132</v>
      </c>
      <c r="K241" s="7">
        <v>4</v>
      </c>
      <c r="L241" s="7">
        <v>29</v>
      </c>
      <c r="M241" s="10" t="s">
        <v>424</v>
      </c>
      <c r="N241" s="8" t="s">
        <v>18</v>
      </c>
      <c r="O241" s="9" t="s">
        <v>487</v>
      </c>
    </row>
    <row r="242" spans="1:15" ht="100.8" x14ac:dyDescent="0.3">
      <c r="A242" s="3" t="s">
        <v>343</v>
      </c>
      <c r="B242" s="3" t="s">
        <v>488</v>
      </c>
      <c r="C242" s="3" t="str">
        <f>MID(Tabla1[[#This Row],[CodMovilidad]],6,3)</f>
        <v>077</v>
      </c>
      <c r="D242" s="3" t="s">
        <v>51</v>
      </c>
      <c r="E242" s="4" t="s">
        <v>38</v>
      </c>
      <c r="F242" s="3">
        <v>3</v>
      </c>
      <c r="G242" s="4" t="s">
        <v>39</v>
      </c>
      <c r="H242" s="5">
        <v>1</v>
      </c>
      <c r="I242" s="6">
        <v>46104</v>
      </c>
      <c r="J242" s="6">
        <v>46132</v>
      </c>
      <c r="K242" s="7">
        <v>4</v>
      </c>
      <c r="L242" s="7">
        <v>29</v>
      </c>
      <c r="M242" s="10" t="s">
        <v>489</v>
      </c>
      <c r="N242" s="8" t="s">
        <v>18</v>
      </c>
      <c r="O242" s="9" t="s">
        <v>490</v>
      </c>
    </row>
    <row r="243" spans="1:15" ht="100.8" x14ac:dyDescent="0.3">
      <c r="A243" s="3" t="s">
        <v>343</v>
      </c>
      <c r="B243" s="3" t="s">
        <v>491</v>
      </c>
      <c r="C243" s="3" t="str">
        <f>MID(Tabla1[[#This Row],[CodMovilidad]],6,3)</f>
        <v>078</v>
      </c>
      <c r="D243" s="3" t="s">
        <v>51</v>
      </c>
      <c r="E243" s="4" t="s">
        <v>38</v>
      </c>
      <c r="F243" s="3">
        <v>3</v>
      </c>
      <c r="G243" s="4" t="s">
        <v>39</v>
      </c>
      <c r="H243" s="5">
        <v>5</v>
      </c>
      <c r="I243" s="6">
        <v>46139</v>
      </c>
      <c r="J243" s="6">
        <v>46167</v>
      </c>
      <c r="K243" s="7">
        <v>4</v>
      </c>
      <c r="L243" s="7">
        <v>29</v>
      </c>
      <c r="M243" s="10" t="s">
        <v>352</v>
      </c>
      <c r="N243" s="8" t="s">
        <v>18</v>
      </c>
      <c r="O243" s="9" t="s">
        <v>473</v>
      </c>
    </row>
    <row r="244" spans="1:15" ht="100.8" x14ac:dyDescent="0.3">
      <c r="A244" s="3" t="s">
        <v>343</v>
      </c>
      <c r="B244" s="3" t="s">
        <v>492</v>
      </c>
      <c r="C244" s="3" t="str">
        <f>MID(Tabla1[[#This Row],[CodMovilidad]],6,3)</f>
        <v>079</v>
      </c>
      <c r="D244" s="3" t="s">
        <v>51</v>
      </c>
      <c r="E244" s="4" t="s">
        <v>38</v>
      </c>
      <c r="F244" s="3">
        <v>3</v>
      </c>
      <c r="G244" s="4" t="s">
        <v>39</v>
      </c>
      <c r="H244" s="5">
        <v>5</v>
      </c>
      <c r="I244" s="6">
        <v>46139</v>
      </c>
      <c r="J244" s="6">
        <v>46167</v>
      </c>
      <c r="K244" s="7">
        <v>4</v>
      </c>
      <c r="L244" s="7">
        <v>29</v>
      </c>
      <c r="M244" s="10" t="s">
        <v>352</v>
      </c>
      <c r="N244" s="8" t="s">
        <v>18</v>
      </c>
      <c r="O244" s="9" t="s">
        <v>493</v>
      </c>
    </row>
    <row r="245" spans="1:15" ht="100.8" x14ac:dyDescent="0.3">
      <c r="A245" s="3" t="s">
        <v>343</v>
      </c>
      <c r="B245" s="3" t="s">
        <v>494</v>
      </c>
      <c r="C245" s="3" t="str">
        <f>MID(Tabla1[[#This Row],[CodMovilidad]],6,3)</f>
        <v>080</v>
      </c>
      <c r="D245" s="3" t="s">
        <v>51</v>
      </c>
      <c r="E245" s="4" t="s">
        <v>38</v>
      </c>
      <c r="F245" s="3">
        <v>3</v>
      </c>
      <c r="G245" s="4" t="s">
        <v>39</v>
      </c>
      <c r="H245" s="5">
        <v>1</v>
      </c>
      <c r="I245" s="6">
        <v>46139</v>
      </c>
      <c r="J245" s="6">
        <v>46167</v>
      </c>
      <c r="K245" s="7">
        <v>4</v>
      </c>
      <c r="L245" s="7">
        <v>29</v>
      </c>
      <c r="M245" s="10" t="s">
        <v>380</v>
      </c>
      <c r="N245" s="8" t="s">
        <v>18</v>
      </c>
      <c r="O245" s="9" t="s">
        <v>471</v>
      </c>
    </row>
    <row r="246" spans="1:15" ht="100.8" x14ac:dyDescent="0.3">
      <c r="A246" s="3" t="s">
        <v>343</v>
      </c>
      <c r="B246" s="3" t="s">
        <v>495</v>
      </c>
      <c r="C246" s="3" t="str">
        <f>MID(Tabla1[[#This Row],[CodMovilidad]],6,3)</f>
        <v>081</v>
      </c>
      <c r="D246" s="3" t="s">
        <v>51</v>
      </c>
      <c r="E246" s="4" t="s">
        <v>38</v>
      </c>
      <c r="F246" s="3">
        <v>3</v>
      </c>
      <c r="G246" s="4" t="s">
        <v>39</v>
      </c>
      <c r="H246" s="5">
        <v>2</v>
      </c>
      <c r="I246" s="6">
        <v>46139</v>
      </c>
      <c r="J246" s="6">
        <v>46167</v>
      </c>
      <c r="K246" s="7">
        <v>4</v>
      </c>
      <c r="L246" s="7">
        <v>29</v>
      </c>
      <c r="M246" s="10" t="s">
        <v>482</v>
      </c>
      <c r="N246" s="8" t="s">
        <v>18</v>
      </c>
      <c r="O246" s="9" t="s">
        <v>483</v>
      </c>
    </row>
    <row r="247" spans="1:15" ht="100.8" x14ac:dyDescent="0.3">
      <c r="A247" s="3" t="s">
        <v>343</v>
      </c>
      <c r="B247" s="3" t="s">
        <v>496</v>
      </c>
      <c r="C247" s="3" t="str">
        <f>MID(Tabla1[[#This Row],[CodMovilidad]],6,3)</f>
        <v>082</v>
      </c>
      <c r="D247" s="3" t="s">
        <v>51</v>
      </c>
      <c r="E247" s="4" t="s">
        <v>38</v>
      </c>
      <c r="F247" s="3">
        <v>3</v>
      </c>
      <c r="G247" s="4" t="s">
        <v>39</v>
      </c>
      <c r="H247" s="5">
        <v>1</v>
      </c>
      <c r="I247" s="6">
        <v>46139</v>
      </c>
      <c r="J247" s="6">
        <v>46167</v>
      </c>
      <c r="K247" s="7">
        <v>4</v>
      </c>
      <c r="L247" s="7">
        <v>29</v>
      </c>
      <c r="M247" s="10" t="s">
        <v>489</v>
      </c>
      <c r="N247" s="8" t="s">
        <v>18</v>
      </c>
      <c r="O247" s="9" t="s">
        <v>497</v>
      </c>
    </row>
    <row r="248" spans="1:15" ht="115.2" x14ac:dyDescent="0.3">
      <c r="A248" s="3" t="s">
        <v>343</v>
      </c>
      <c r="B248" s="3" t="s">
        <v>498</v>
      </c>
      <c r="C248" s="3" t="str">
        <f>MID(Tabla1[[#This Row],[CodMovilidad]],6,3)</f>
        <v>083</v>
      </c>
      <c r="D248" s="3" t="s">
        <v>51</v>
      </c>
      <c r="E248" s="4" t="s">
        <v>38</v>
      </c>
      <c r="F248" s="3">
        <v>3</v>
      </c>
      <c r="G248" s="4" t="s">
        <v>39</v>
      </c>
      <c r="H248" s="5">
        <v>1</v>
      </c>
      <c r="I248" s="6">
        <v>46139</v>
      </c>
      <c r="J248" s="6">
        <v>46167</v>
      </c>
      <c r="K248" s="7">
        <v>4</v>
      </c>
      <c r="L248" s="7">
        <v>29</v>
      </c>
      <c r="M248" s="10" t="s">
        <v>360</v>
      </c>
      <c r="N248" s="8" t="s">
        <v>18</v>
      </c>
      <c r="O248" s="9" t="s">
        <v>499</v>
      </c>
    </row>
    <row r="249" spans="1:15" ht="129.6" x14ac:dyDescent="0.3">
      <c r="A249" s="3" t="s">
        <v>343</v>
      </c>
      <c r="B249" s="3" t="s">
        <v>500</v>
      </c>
      <c r="C249" s="3" t="str">
        <f>MID(Tabla1[[#This Row],[CodMovilidad]],6,3)</f>
        <v>084</v>
      </c>
      <c r="D249" s="3" t="s">
        <v>51</v>
      </c>
      <c r="E249" s="4" t="s">
        <v>38</v>
      </c>
      <c r="F249" s="3">
        <v>3</v>
      </c>
      <c r="G249" s="4" t="s">
        <v>39</v>
      </c>
      <c r="H249" s="5">
        <v>1</v>
      </c>
      <c r="I249" s="6">
        <v>46139</v>
      </c>
      <c r="J249" s="6">
        <v>46167</v>
      </c>
      <c r="K249" s="7">
        <v>4</v>
      </c>
      <c r="L249" s="7">
        <v>29</v>
      </c>
      <c r="M249" s="10" t="s">
        <v>424</v>
      </c>
      <c r="N249" s="8" t="s">
        <v>18</v>
      </c>
      <c r="O249" s="9" t="s">
        <v>501</v>
      </c>
    </row>
    <row r="250" spans="1:15" ht="129.6" x14ac:dyDescent="0.3">
      <c r="A250" s="3" t="s">
        <v>343</v>
      </c>
      <c r="B250" s="3" t="s">
        <v>502</v>
      </c>
      <c r="C250" s="3" t="str">
        <f>MID(Tabla1[[#This Row],[CodMovilidad]],6,3)</f>
        <v>085</v>
      </c>
      <c r="D250" s="3" t="s">
        <v>51</v>
      </c>
      <c r="E250" s="4" t="s">
        <v>38</v>
      </c>
      <c r="F250" s="3">
        <v>3</v>
      </c>
      <c r="G250" s="4" t="s">
        <v>39</v>
      </c>
      <c r="H250" s="5">
        <v>1</v>
      </c>
      <c r="I250" s="6">
        <v>46139</v>
      </c>
      <c r="J250" s="6">
        <v>46167</v>
      </c>
      <c r="K250" s="7">
        <v>4</v>
      </c>
      <c r="L250" s="7">
        <v>29</v>
      </c>
      <c r="M250" s="10" t="s">
        <v>479</v>
      </c>
      <c r="N250" s="8" t="s">
        <v>18</v>
      </c>
      <c r="O250" s="9" t="s">
        <v>503</v>
      </c>
    </row>
    <row r="251" spans="1:15" ht="100.8" x14ac:dyDescent="0.3">
      <c r="A251" s="3" t="s">
        <v>343</v>
      </c>
      <c r="B251" s="3" t="s">
        <v>504</v>
      </c>
      <c r="C251" s="3" t="str">
        <f>MID(Tabla1[[#This Row],[CodMovilidad]],6,3)</f>
        <v>086</v>
      </c>
      <c r="D251" s="3" t="s">
        <v>51</v>
      </c>
      <c r="E251" s="4" t="s">
        <v>38</v>
      </c>
      <c r="F251" s="3">
        <v>3</v>
      </c>
      <c r="G251" s="4" t="s">
        <v>39</v>
      </c>
      <c r="H251" s="5">
        <v>2</v>
      </c>
      <c r="I251" s="6">
        <v>46139</v>
      </c>
      <c r="J251" s="6">
        <v>46167</v>
      </c>
      <c r="K251" s="7">
        <v>4</v>
      </c>
      <c r="L251" s="7">
        <v>29</v>
      </c>
      <c r="M251" s="10" t="s">
        <v>505</v>
      </c>
      <c r="N251" s="8" t="s">
        <v>18</v>
      </c>
      <c r="O251" s="9" t="s">
        <v>506</v>
      </c>
    </row>
    <row r="252" spans="1:15" ht="115.2" x14ac:dyDescent="0.3">
      <c r="A252" s="3" t="s">
        <v>343</v>
      </c>
      <c r="B252" s="3" t="s">
        <v>507</v>
      </c>
      <c r="C252" s="3" t="str">
        <f>MID(Tabla1[[#This Row],[CodMovilidad]],6,3)</f>
        <v>087</v>
      </c>
      <c r="D252" s="3" t="s">
        <v>51</v>
      </c>
      <c r="E252" s="4" t="s">
        <v>38</v>
      </c>
      <c r="F252" s="3">
        <v>3</v>
      </c>
      <c r="G252" s="4" t="s">
        <v>39</v>
      </c>
      <c r="H252" s="5">
        <v>1</v>
      </c>
      <c r="I252" s="6">
        <v>46174</v>
      </c>
      <c r="J252" s="6">
        <v>46202</v>
      </c>
      <c r="K252" s="7">
        <v>4</v>
      </c>
      <c r="L252" s="7">
        <v>29</v>
      </c>
      <c r="M252" s="10" t="s">
        <v>380</v>
      </c>
      <c r="N252" s="8" t="s">
        <v>18</v>
      </c>
      <c r="O252" s="9" t="s">
        <v>508</v>
      </c>
    </row>
    <row r="253" spans="1:15" ht="100.8" x14ac:dyDescent="0.3">
      <c r="A253" s="3" t="s">
        <v>343</v>
      </c>
      <c r="B253" s="3" t="s">
        <v>509</v>
      </c>
      <c r="C253" s="3" t="str">
        <f>MID(Tabla1[[#This Row],[CodMovilidad]],6,3)</f>
        <v>088</v>
      </c>
      <c r="D253" s="3" t="s">
        <v>51</v>
      </c>
      <c r="E253" s="4" t="s">
        <v>38</v>
      </c>
      <c r="F253" s="3">
        <v>3</v>
      </c>
      <c r="G253" s="4" t="s">
        <v>39</v>
      </c>
      <c r="H253" s="5">
        <v>2</v>
      </c>
      <c r="I253" s="6">
        <v>46174</v>
      </c>
      <c r="J253" s="6">
        <v>46202</v>
      </c>
      <c r="K253" s="7">
        <v>4</v>
      </c>
      <c r="L253" s="7">
        <v>29</v>
      </c>
      <c r="M253" s="10" t="s">
        <v>482</v>
      </c>
      <c r="N253" s="8" t="s">
        <v>18</v>
      </c>
      <c r="O253" s="9" t="s">
        <v>510</v>
      </c>
    </row>
    <row r="254" spans="1:15" ht="100.8" x14ac:dyDescent="0.3">
      <c r="A254" s="3" t="s">
        <v>343</v>
      </c>
      <c r="B254" s="3" t="s">
        <v>511</v>
      </c>
      <c r="C254" s="3" t="str">
        <f>MID(Tabla1[[#This Row],[CodMovilidad]],6,3)</f>
        <v>089</v>
      </c>
      <c r="D254" s="3" t="s">
        <v>51</v>
      </c>
      <c r="E254" s="4" t="s">
        <v>38</v>
      </c>
      <c r="F254" s="3">
        <v>3</v>
      </c>
      <c r="G254" s="4" t="s">
        <v>39</v>
      </c>
      <c r="H254" s="5">
        <v>1</v>
      </c>
      <c r="I254" s="6">
        <v>46174</v>
      </c>
      <c r="J254" s="6">
        <v>46202</v>
      </c>
      <c r="K254" s="7">
        <v>4</v>
      </c>
      <c r="L254" s="7">
        <v>29</v>
      </c>
      <c r="M254" s="10" t="s">
        <v>489</v>
      </c>
      <c r="N254" s="8" t="s">
        <v>18</v>
      </c>
      <c r="O254" s="9" t="s">
        <v>497</v>
      </c>
    </row>
    <row r="255" spans="1:15" ht="115.2" x14ac:dyDescent="0.3">
      <c r="A255" s="3" t="s">
        <v>343</v>
      </c>
      <c r="B255" s="3" t="s">
        <v>512</v>
      </c>
      <c r="C255" s="3" t="str">
        <f>MID(Tabla1[[#This Row],[CodMovilidad]],6,3)</f>
        <v>090</v>
      </c>
      <c r="D255" s="3" t="s">
        <v>51</v>
      </c>
      <c r="E255" s="4" t="s">
        <v>38</v>
      </c>
      <c r="F255" s="3">
        <v>3</v>
      </c>
      <c r="G255" s="4" t="s">
        <v>39</v>
      </c>
      <c r="H255" s="5">
        <v>1</v>
      </c>
      <c r="I255" s="6">
        <v>46174</v>
      </c>
      <c r="J255" s="6">
        <v>46202</v>
      </c>
      <c r="K255" s="7">
        <v>4</v>
      </c>
      <c r="L255" s="7">
        <v>29</v>
      </c>
      <c r="M255" s="10" t="s">
        <v>360</v>
      </c>
      <c r="N255" s="8" t="s">
        <v>18</v>
      </c>
      <c r="O255" s="9" t="s">
        <v>499</v>
      </c>
    </row>
    <row r="256" spans="1:15" ht="100.8" x14ac:dyDescent="0.3">
      <c r="A256" s="3" t="s">
        <v>343</v>
      </c>
      <c r="B256" s="3" t="s">
        <v>513</v>
      </c>
      <c r="C256" s="3" t="str">
        <f>MID(Tabla1[[#This Row],[CodMovilidad]],6,3)</f>
        <v>091</v>
      </c>
      <c r="D256" s="3" t="s">
        <v>51</v>
      </c>
      <c r="E256" s="4" t="s">
        <v>38</v>
      </c>
      <c r="F256" s="3">
        <v>3</v>
      </c>
      <c r="G256" s="4" t="s">
        <v>39</v>
      </c>
      <c r="H256" s="5">
        <v>1</v>
      </c>
      <c r="I256" s="6">
        <v>46174</v>
      </c>
      <c r="J256" s="6">
        <v>46202</v>
      </c>
      <c r="K256" s="7">
        <v>4</v>
      </c>
      <c r="L256" s="7">
        <v>29</v>
      </c>
      <c r="M256" s="10" t="s">
        <v>424</v>
      </c>
      <c r="N256" s="8" t="s">
        <v>18</v>
      </c>
      <c r="O256" s="9" t="s">
        <v>514</v>
      </c>
    </row>
    <row r="257" spans="1:15" ht="115.2" x14ac:dyDescent="0.3">
      <c r="A257" s="3" t="s">
        <v>343</v>
      </c>
      <c r="B257" s="3" t="s">
        <v>515</v>
      </c>
      <c r="C257" s="3" t="str">
        <f>MID(Tabla1[[#This Row],[CodMovilidad]],6,3)</f>
        <v>092</v>
      </c>
      <c r="D257" s="3" t="s">
        <v>51</v>
      </c>
      <c r="E257" s="4" t="s">
        <v>38</v>
      </c>
      <c r="F257" s="3">
        <v>3</v>
      </c>
      <c r="G257" s="4" t="s">
        <v>39</v>
      </c>
      <c r="H257" s="5">
        <v>1</v>
      </c>
      <c r="I257" s="6">
        <v>46174</v>
      </c>
      <c r="J257" s="6">
        <v>46202</v>
      </c>
      <c r="K257" s="7">
        <v>4</v>
      </c>
      <c r="L257" s="7">
        <v>29</v>
      </c>
      <c r="M257" s="10" t="s">
        <v>516</v>
      </c>
      <c r="N257" s="8" t="s">
        <v>18</v>
      </c>
      <c r="O257" s="9" t="s">
        <v>517</v>
      </c>
    </row>
    <row r="258" spans="1:15" ht="100.8" x14ac:dyDescent="0.3">
      <c r="A258" s="3" t="s">
        <v>343</v>
      </c>
      <c r="B258" s="3" t="s">
        <v>518</v>
      </c>
      <c r="C258" s="3" t="str">
        <f>MID(Tabla1[[#This Row],[CodMovilidad]],6,3)</f>
        <v>093</v>
      </c>
      <c r="D258" s="3" t="s">
        <v>51</v>
      </c>
      <c r="E258" s="4" t="s">
        <v>38</v>
      </c>
      <c r="F258" s="3">
        <v>3</v>
      </c>
      <c r="G258" s="4" t="s">
        <v>39</v>
      </c>
      <c r="H258" s="5">
        <v>2</v>
      </c>
      <c r="I258" s="6">
        <v>46174</v>
      </c>
      <c r="J258" s="6">
        <v>46202</v>
      </c>
      <c r="K258" s="7">
        <v>4</v>
      </c>
      <c r="L258" s="7">
        <v>29</v>
      </c>
      <c r="M258" s="10" t="s">
        <v>505</v>
      </c>
      <c r="N258" s="8" t="s">
        <v>18</v>
      </c>
      <c r="O258" s="9" t="s">
        <v>519</v>
      </c>
    </row>
    <row r="259" spans="1:15" ht="100.8" x14ac:dyDescent="0.3">
      <c r="A259" s="3" t="s">
        <v>343</v>
      </c>
      <c r="B259" s="3" t="s">
        <v>520</v>
      </c>
      <c r="C259" s="3" t="str">
        <f>MID(Tabla1[[#This Row],[CodMovilidad]],6,3)</f>
        <v>094</v>
      </c>
      <c r="D259" s="3" t="s">
        <v>51</v>
      </c>
      <c r="E259" s="4" t="s">
        <v>38</v>
      </c>
      <c r="F259" s="3">
        <v>3</v>
      </c>
      <c r="G259" s="4" t="s">
        <v>39</v>
      </c>
      <c r="H259" s="5">
        <v>5</v>
      </c>
      <c r="I259" s="6">
        <v>46174</v>
      </c>
      <c r="J259" s="6">
        <v>46202</v>
      </c>
      <c r="K259" s="7">
        <v>4</v>
      </c>
      <c r="L259" s="7">
        <v>29</v>
      </c>
      <c r="M259" s="10" t="s">
        <v>352</v>
      </c>
      <c r="N259" s="8" t="s">
        <v>18</v>
      </c>
      <c r="O259" s="9" t="s">
        <v>521</v>
      </c>
    </row>
    <row r="260" spans="1:15" ht="100.8" x14ac:dyDescent="0.3">
      <c r="A260" s="3" t="s">
        <v>343</v>
      </c>
      <c r="B260" s="3" t="s">
        <v>522</v>
      </c>
      <c r="C260" s="3" t="str">
        <f>MID(Tabla1[[#This Row],[CodMovilidad]],6,3)</f>
        <v>095</v>
      </c>
      <c r="D260" s="3" t="s">
        <v>51</v>
      </c>
      <c r="E260" s="4" t="s">
        <v>38</v>
      </c>
      <c r="F260" s="3">
        <v>3</v>
      </c>
      <c r="G260" s="4" t="s">
        <v>39</v>
      </c>
      <c r="H260" s="5">
        <v>5</v>
      </c>
      <c r="I260" s="6">
        <v>46174</v>
      </c>
      <c r="J260" s="6">
        <v>46202</v>
      </c>
      <c r="K260" s="7">
        <v>4</v>
      </c>
      <c r="L260" s="7">
        <v>29</v>
      </c>
      <c r="M260" s="10" t="s">
        <v>352</v>
      </c>
      <c r="N260" s="8" t="s">
        <v>18</v>
      </c>
      <c r="O260" s="9" t="s">
        <v>523</v>
      </c>
    </row>
    <row r="261" spans="1:15" ht="115.2" x14ac:dyDescent="0.3">
      <c r="A261" s="3" t="s">
        <v>343</v>
      </c>
      <c r="B261" s="3" t="s">
        <v>524</v>
      </c>
      <c r="C261" s="3" t="str">
        <f>MID(Tabla1[[#This Row],[CodMovilidad]],6,3)</f>
        <v>096</v>
      </c>
      <c r="D261" s="3" t="s">
        <v>51</v>
      </c>
      <c r="E261" s="4" t="s">
        <v>42</v>
      </c>
      <c r="F261" s="3">
        <v>3</v>
      </c>
      <c r="G261" s="4" t="s">
        <v>43</v>
      </c>
      <c r="H261" s="5">
        <v>10</v>
      </c>
      <c r="I261" s="6">
        <v>46100</v>
      </c>
      <c r="J261" s="6">
        <v>46142</v>
      </c>
      <c r="K261" s="7">
        <v>6</v>
      </c>
      <c r="L261" s="7">
        <v>43</v>
      </c>
      <c r="M261" s="10" t="s">
        <v>525</v>
      </c>
      <c r="N261" s="8" t="s">
        <v>18</v>
      </c>
      <c r="O261" s="9" t="s">
        <v>526</v>
      </c>
    </row>
    <row r="262" spans="1:15" ht="115.2" x14ac:dyDescent="0.3">
      <c r="A262" s="3" t="s">
        <v>343</v>
      </c>
      <c r="B262" s="3" t="s">
        <v>527</v>
      </c>
      <c r="C262" s="3" t="str">
        <f>MID(Tabla1[[#This Row],[CodMovilidad]],6,3)</f>
        <v>097</v>
      </c>
      <c r="D262" s="3" t="s">
        <v>51</v>
      </c>
      <c r="E262" s="4" t="s">
        <v>42</v>
      </c>
      <c r="F262" s="3">
        <v>3</v>
      </c>
      <c r="G262" s="4" t="s">
        <v>43</v>
      </c>
      <c r="H262" s="5">
        <v>2</v>
      </c>
      <c r="I262" s="6">
        <v>46100</v>
      </c>
      <c r="J262" s="6">
        <v>46142</v>
      </c>
      <c r="K262" s="7">
        <v>6</v>
      </c>
      <c r="L262" s="7">
        <v>43</v>
      </c>
      <c r="M262" s="10" t="s">
        <v>360</v>
      </c>
      <c r="N262" s="8" t="s">
        <v>18</v>
      </c>
      <c r="O262" s="9" t="s">
        <v>528</v>
      </c>
    </row>
    <row r="263" spans="1:15" ht="100.8" x14ac:dyDescent="0.3">
      <c r="A263" s="3" t="s">
        <v>343</v>
      </c>
      <c r="B263" s="3" t="s">
        <v>529</v>
      </c>
      <c r="C263" s="3" t="str">
        <f>MID(Tabla1[[#This Row],[CodMovilidad]],6,3)</f>
        <v>098</v>
      </c>
      <c r="D263" s="3" t="s">
        <v>51</v>
      </c>
      <c r="E263" s="4" t="s">
        <v>42</v>
      </c>
      <c r="F263" s="3">
        <v>3</v>
      </c>
      <c r="G263" s="4" t="s">
        <v>43</v>
      </c>
      <c r="H263" s="5">
        <v>5</v>
      </c>
      <c r="I263" s="6">
        <v>46100</v>
      </c>
      <c r="J263" s="6">
        <v>46142</v>
      </c>
      <c r="K263" s="7">
        <v>6</v>
      </c>
      <c r="L263" s="7">
        <v>43</v>
      </c>
      <c r="M263" s="10" t="s">
        <v>530</v>
      </c>
      <c r="N263" s="8" t="s">
        <v>18</v>
      </c>
      <c r="O263" s="9" t="s">
        <v>531</v>
      </c>
    </row>
    <row r="264" spans="1:15" ht="100.8" x14ac:dyDescent="0.3">
      <c r="A264" s="3" t="s">
        <v>343</v>
      </c>
      <c r="B264" s="3" t="s">
        <v>532</v>
      </c>
      <c r="C264" s="3" t="str">
        <f>MID(Tabla1[[#This Row],[CodMovilidad]],6,3)</f>
        <v>099</v>
      </c>
      <c r="D264" s="3" t="s">
        <v>51</v>
      </c>
      <c r="E264" s="4" t="s">
        <v>42</v>
      </c>
      <c r="F264" s="3">
        <v>3</v>
      </c>
      <c r="G264" s="4" t="s">
        <v>43</v>
      </c>
      <c r="H264" s="5">
        <v>2</v>
      </c>
      <c r="I264" s="6">
        <v>46100</v>
      </c>
      <c r="J264" s="6">
        <v>46142</v>
      </c>
      <c r="K264" s="7">
        <v>6</v>
      </c>
      <c r="L264" s="7">
        <v>43</v>
      </c>
      <c r="M264" s="10" t="s">
        <v>505</v>
      </c>
      <c r="N264" s="8" t="s">
        <v>18</v>
      </c>
      <c r="O264" s="9" t="s">
        <v>533</v>
      </c>
    </row>
    <row r="265" spans="1:15" ht="100.8" x14ac:dyDescent="0.3">
      <c r="A265" s="3" t="s">
        <v>343</v>
      </c>
      <c r="B265" s="3" t="s">
        <v>534</v>
      </c>
      <c r="C265" s="3" t="str">
        <f>MID(Tabla1[[#This Row],[CodMovilidad]],6,3)</f>
        <v>100</v>
      </c>
      <c r="D265" s="3" t="s">
        <v>51</v>
      </c>
      <c r="E265" s="4" t="s">
        <v>42</v>
      </c>
      <c r="F265" s="3">
        <v>3</v>
      </c>
      <c r="G265" s="4" t="s">
        <v>43</v>
      </c>
      <c r="H265" s="5">
        <v>6</v>
      </c>
      <c r="I265" s="6">
        <v>46100</v>
      </c>
      <c r="J265" s="6">
        <v>46142</v>
      </c>
      <c r="K265" s="7">
        <v>6</v>
      </c>
      <c r="L265" s="7">
        <v>43</v>
      </c>
      <c r="M265" s="10" t="s">
        <v>535</v>
      </c>
      <c r="N265" s="8" t="s">
        <v>18</v>
      </c>
      <c r="O265" s="9" t="s">
        <v>536</v>
      </c>
    </row>
    <row r="266" spans="1:15" ht="129.6" x14ac:dyDescent="0.3">
      <c r="A266" s="3" t="s">
        <v>343</v>
      </c>
      <c r="B266" s="3" t="s">
        <v>537</v>
      </c>
      <c r="C266" s="3" t="str">
        <f>MID(Tabla1[[#This Row],[CodMovilidad]],6,3)</f>
        <v>101</v>
      </c>
      <c r="D266" s="3" t="s">
        <v>51</v>
      </c>
      <c r="E266" s="4" t="s">
        <v>38</v>
      </c>
      <c r="F266" s="3">
        <v>3</v>
      </c>
      <c r="G266" s="4" t="s">
        <v>46</v>
      </c>
      <c r="H266" s="5">
        <v>1</v>
      </c>
      <c r="I266" s="6">
        <v>46097</v>
      </c>
      <c r="J266" s="6">
        <v>46125</v>
      </c>
      <c r="K266" s="7">
        <v>4</v>
      </c>
      <c r="L266" s="7">
        <v>29</v>
      </c>
      <c r="M266" s="10" t="s">
        <v>380</v>
      </c>
      <c r="N266" s="8" t="s">
        <v>18</v>
      </c>
      <c r="O266" s="9" t="s">
        <v>538</v>
      </c>
    </row>
    <row r="267" spans="1:15" ht="115.2" x14ac:dyDescent="0.3">
      <c r="A267" s="3" t="s">
        <v>343</v>
      </c>
      <c r="B267" s="3" t="s">
        <v>539</v>
      </c>
      <c r="C267" s="3" t="str">
        <f>MID(Tabla1[[#This Row],[CodMovilidad]],6,3)</f>
        <v>102</v>
      </c>
      <c r="D267" s="3" t="s">
        <v>51</v>
      </c>
      <c r="E267" s="4" t="s">
        <v>38</v>
      </c>
      <c r="F267" s="3">
        <v>3</v>
      </c>
      <c r="G267" s="4" t="s">
        <v>46</v>
      </c>
      <c r="H267" s="5">
        <v>2</v>
      </c>
      <c r="I267" s="6">
        <v>46097</v>
      </c>
      <c r="J267" s="6">
        <v>46125</v>
      </c>
      <c r="K267" s="7">
        <v>4</v>
      </c>
      <c r="L267" s="7">
        <v>29</v>
      </c>
      <c r="M267" s="10" t="s">
        <v>482</v>
      </c>
      <c r="N267" s="8" t="s">
        <v>18</v>
      </c>
      <c r="O267" s="9" t="s">
        <v>540</v>
      </c>
    </row>
    <row r="268" spans="1:15" ht="115.2" x14ac:dyDescent="0.3">
      <c r="A268" s="3" t="s">
        <v>343</v>
      </c>
      <c r="B268" s="3" t="s">
        <v>541</v>
      </c>
      <c r="C268" s="3" t="str">
        <f>MID(Tabla1[[#This Row],[CodMovilidad]],6,3)</f>
        <v>103</v>
      </c>
      <c r="D268" s="3" t="s">
        <v>51</v>
      </c>
      <c r="E268" s="4" t="s">
        <v>38</v>
      </c>
      <c r="F268" s="3">
        <v>3</v>
      </c>
      <c r="G268" s="4" t="s">
        <v>46</v>
      </c>
      <c r="H268" s="5">
        <v>3</v>
      </c>
      <c r="I268" s="6">
        <v>46097</v>
      </c>
      <c r="J268" s="6">
        <v>46125</v>
      </c>
      <c r="K268" s="7">
        <v>4</v>
      </c>
      <c r="L268" s="7">
        <v>29</v>
      </c>
      <c r="M268" s="10" t="s">
        <v>542</v>
      </c>
      <c r="N268" s="8" t="s">
        <v>18</v>
      </c>
      <c r="O268" s="9" t="s">
        <v>543</v>
      </c>
    </row>
    <row r="269" spans="1:15" ht="129.6" x14ac:dyDescent="0.3">
      <c r="A269" s="3" t="s">
        <v>343</v>
      </c>
      <c r="B269" s="3" t="s">
        <v>544</v>
      </c>
      <c r="C269" s="3" t="str">
        <f>MID(Tabla1[[#This Row],[CodMovilidad]],6,3)</f>
        <v>104</v>
      </c>
      <c r="D269" s="3" t="s">
        <v>51</v>
      </c>
      <c r="E269" s="4" t="s">
        <v>38</v>
      </c>
      <c r="F269" s="3">
        <v>3</v>
      </c>
      <c r="G269" s="4" t="s">
        <v>46</v>
      </c>
      <c r="H269" s="5">
        <v>2</v>
      </c>
      <c r="I269" s="6">
        <v>46097</v>
      </c>
      <c r="J269" s="6">
        <v>46125</v>
      </c>
      <c r="K269" s="7">
        <v>4</v>
      </c>
      <c r="L269" s="7">
        <v>29</v>
      </c>
      <c r="M269" s="10" t="s">
        <v>489</v>
      </c>
      <c r="N269" s="8" t="s">
        <v>18</v>
      </c>
      <c r="O269" s="9" t="s">
        <v>545</v>
      </c>
    </row>
    <row r="270" spans="1:15" ht="129.6" x14ac:dyDescent="0.3">
      <c r="A270" s="3" t="s">
        <v>343</v>
      </c>
      <c r="B270" s="3" t="s">
        <v>546</v>
      </c>
      <c r="C270" s="3" t="str">
        <f>MID(Tabla1[[#This Row],[CodMovilidad]],6,3)</f>
        <v>105</v>
      </c>
      <c r="D270" s="3" t="s">
        <v>51</v>
      </c>
      <c r="E270" s="4" t="s">
        <v>38</v>
      </c>
      <c r="F270" s="3">
        <v>3</v>
      </c>
      <c r="G270" s="4" t="s">
        <v>46</v>
      </c>
      <c r="H270" s="5">
        <v>2</v>
      </c>
      <c r="I270" s="6">
        <v>46128</v>
      </c>
      <c r="J270" s="6">
        <v>46156</v>
      </c>
      <c r="K270" s="7">
        <v>4</v>
      </c>
      <c r="L270" s="7">
        <v>29</v>
      </c>
      <c r="M270" s="10" t="s">
        <v>380</v>
      </c>
      <c r="N270" s="8" t="s">
        <v>18</v>
      </c>
      <c r="O270" s="9" t="s">
        <v>538</v>
      </c>
    </row>
    <row r="271" spans="1:15" ht="115.2" x14ac:dyDescent="0.3">
      <c r="A271" s="3" t="s">
        <v>343</v>
      </c>
      <c r="B271" s="3" t="s">
        <v>547</v>
      </c>
      <c r="C271" s="3" t="str">
        <f>MID(Tabla1[[#This Row],[CodMovilidad]],6,3)</f>
        <v>106</v>
      </c>
      <c r="D271" s="3" t="s">
        <v>51</v>
      </c>
      <c r="E271" s="4" t="s">
        <v>38</v>
      </c>
      <c r="F271" s="3">
        <v>3</v>
      </c>
      <c r="G271" s="4" t="s">
        <v>46</v>
      </c>
      <c r="H271" s="5">
        <v>3</v>
      </c>
      <c r="I271" s="6">
        <v>46128</v>
      </c>
      <c r="J271" s="6">
        <v>46156</v>
      </c>
      <c r="K271" s="7">
        <v>4</v>
      </c>
      <c r="L271" s="7">
        <v>29</v>
      </c>
      <c r="M271" s="10" t="s">
        <v>482</v>
      </c>
      <c r="N271" s="8" t="s">
        <v>18</v>
      </c>
      <c r="O271" s="9" t="s">
        <v>540</v>
      </c>
    </row>
    <row r="272" spans="1:15" ht="115.2" x14ac:dyDescent="0.3">
      <c r="A272" s="3" t="s">
        <v>343</v>
      </c>
      <c r="B272" s="3" t="s">
        <v>548</v>
      </c>
      <c r="C272" s="3" t="str">
        <f>MID(Tabla1[[#This Row],[CodMovilidad]],6,3)</f>
        <v>107</v>
      </c>
      <c r="D272" s="3" t="s">
        <v>51</v>
      </c>
      <c r="E272" s="4" t="s">
        <v>38</v>
      </c>
      <c r="F272" s="3">
        <v>3</v>
      </c>
      <c r="G272" s="4" t="s">
        <v>46</v>
      </c>
      <c r="H272" s="5">
        <v>4</v>
      </c>
      <c r="I272" s="6">
        <v>46128</v>
      </c>
      <c r="J272" s="6">
        <v>46156</v>
      </c>
      <c r="K272" s="7">
        <v>4</v>
      </c>
      <c r="L272" s="7">
        <v>29</v>
      </c>
      <c r="M272" s="10" t="s">
        <v>542</v>
      </c>
      <c r="N272" s="8" t="s">
        <v>18</v>
      </c>
      <c r="O272" s="9" t="s">
        <v>543</v>
      </c>
    </row>
    <row r="273" spans="1:15" ht="129.6" x14ac:dyDescent="0.3">
      <c r="A273" s="3" t="s">
        <v>343</v>
      </c>
      <c r="B273" s="3" t="s">
        <v>549</v>
      </c>
      <c r="C273" s="3" t="str">
        <f>MID(Tabla1[[#This Row],[CodMovilidad]],6,3)</f>
        <v>108</v>
      </c>
      <c r="D273" s="3" t="s">
        <v>51</v>
      </c>
      <c r="E273" s="4" t="s">
        <v>38</v>
      </c>
      <c r="F273" s="3">
        <v>3</v>
      </c>
      <c r="G273" s="4" t="s">
        <v>46</v>
      </c>
      <c r="H273" s="5">
        <v>3</v>
      </c>
      <c r="I273" s="6">
        <v>46128</v>
      </c>
      <c r="J273" s="6">
        <v>46156</v>
      </c>
      <c r="K273" s="7">
        <v>4</v>
      </c>
      <c r="L273" s="7">
        <v>29</v>
      </c>
      <c r="M273" s="10" t="s">
        <v>489</v>
      </c>
      <c r="N273" s="8" t="s">
        <v>18</v>
      </c>
      <c r="O273" s="9" t="s">
        <v>545</v>
      </c>
    </row>
    <row r="274" spans="1:15" ht="115.2" x14ac:dyDescent="0.3">
      <c r="A274" s="3" t="s">
        <v>343</v>
      </c>
      <c r="B274" s="3" t="s">
        <v>550</v>
      </c>
      <c r="C274" s="3" t="str">
        <f>MID(Tabla1[[#This Row],[CodMovilidad]],6,3)</f>
        <v>109</v>
      </c>
      <c r="D274" s="3" t="s">
        <v>51</v>
      </c>
      <c r="E274" s="4" t="s">
        <v>38</v>
      </c>
      <c r="F274" s="3">
        <v>3</v>
      </c>
      <c r="G274" s="4" t="s">
        <v>46</v>
      </c>
      <c r="H274" s="5">
        <v>2</v>
      </c>
      <c r="I274" s="6">
        <v>46128</v>
      </c>
      <c r="J274" s="6">
        <v>46156</v>
      </c>
      <c r="K274" s="7">
        <v>4</v>
      </c>
      <c r="L274" s="7">
        <v>29</v>
      </c>
      <c r="M274" s="10" t="s">
        <v>551</v>
      </c>
      <c r="N274" s="8" t="s">
        <v>18</v>
      </c>
      <c r="O274" s="9" t="s">
        <v>552</v>
      </c>
    </row>
    <row r="275" spans="1:15" ht="115.2" x14ac:dyDescent="0.3">
      <c r="A275" s="3" t="s">
        <v>343</v>
      </c>
      <c r="B275" s="3" t="s">
        <v>553</v>
      </c>
      <c r="C275" s="3" t="str">
        <f>MID(Tabla1[[#This Row],[CodMovilidad]],6,3)</f>
        <v>110</v>
      </c>
      <c r="D275" s="3" t="s">
        <v>51</v>
      </c>
      <c r="E275" s="4" t="s">
        <v>38</v>
      </c>
      <c r="F275" s="3">
        <v>3</v>
      </c>
      <c r="G275" s="4" t="s">
        <v>46</v>
      </c>
      <c r="H275" s="5">
        <v>1</v>
      </c>
      <c r="I275" s="6">
        <v>46128</v>
      </c>
      <c r="J275" s="6">
        <v>46156</v>
      </c>
      <c r="K275" s="7">
        <v>4</v>
      </c>
      <c r="L275" s="7">
        <v>29</v>
      </c>
      <c r="M275" s="10" t="s">
        <v>554</v>
      </c>
      <c r="N275" s="8" t="s">
        <v>18</v>
      </c>
      <c r="O275" s="9" t="s">
        <v>555</v>
      </c>
    </row>
    <row r="276" spans="1:15" ht="115.2" x14ac:dyDescent="0.3">
      <c r="A276" s="3" t="s">
        <v>343</v>
      </c>
      <c r="B276" s="3" t="s">
        <v>556</v>
      </c>
      <c r="C276" s="3" t="str">
        <f>MID(Tabla1[[#This Row],[CodMovilidad]],6,3)</f>
        <v>111</v>
      </c>
      <c r="D276" s="3" t="s">
        <v>51</v>
      </c>
      <c r="E276" s="4" t="s">
        <v>38</v>
      </c>
      <c r="F276" s="3">
        <v>3</v>
      </c>
      <c r="G276" s="4" t="s">
        <v>46</v>
      </c>
      <c r="H276" s="5">
        <v>4</v>
      </c>
      <c r="I276" s="6">
        <v>46128</v>
      </c>
      <c r="J276" s="6">
        <v>46156</v>
      </c>
      <c r="K276" s="7">
        <v>4</v>
      </c>
      <c r="L276" s="7">
        <v>29</v>
      </c>
      <c r="M276" s="10" t="s">
        <v>366</v>
      </c>
      <c r="N276" s="8" t="s">
        <v>18</v>
      </c>
      <c r="O276" s="9" t="s">
        <v>557</v>
      </c>
    </row>
    <row r="277" spans="1:15" ht="129.6" x14ac:dyDescent="0.3">
      <c r="A277" s="3" t="s">
        <v>343</v>
      </c>
      <c r="B277" s="3" t="s">
        <v>558</v>
      </c>
      <c r="C277" s="3" t="str">
        <f>MID(Tabla1[[#This Row],[CodMovilidad]],6,3)</f>
        <v>112</v>
      </c>
      <c r="D277" s="3" t="s">
        <v>51</v>
      </c>
      <c r="E277" s="4" t="s">
        <v>38</v>
      </c>
      <c r="F277" s="3">
        <v>3</v>
      </c>
      <c r="G277" s="4" t="s">
        <v>46</v>
      </c>
      <c r="H277" s="5">
        <v>1</v>
      </c>
      <c r="I277" s="6">
        <v>46160</v>
      </c>
      <c r="J277" s="6">
        <v>46188</v>
      </c>
      <c r="K277" s="7">
        <v>4</v>
      </c>
      <c r="L277" s="7">
        <v>29</v>
      </c>
      <c r="M277" s="10" t="s">
        <v>380</v>
      </c>
      <c r="N277" s="8" t="s">
        <v>18</v>
      </c>
      <c r="O277" s="9" t="s">
        <v>538</v>
      </c>
    </row>
    <row r="278" spans="1:15" ht="115.2" x14ac:dyDescent="0.3">
      <c r="A278" s="3" t="s">
        <v>343</v>
      </c>
      <c r="B278" s="3" t="s">
        <v>559</v>
      </c>
      <c r="C278" s="3" t="str">
        <f>MID(Tabla1[[#This Row],[CodMovilidad]],6,3)</f>
        <v>113</v>
      </c>
      <c r="D278" s="3" t="s">
        <v>51</v>
      </c>
      <c r="E278" s="4" t="s">
        <v>38</v>
      </c>
      <c r="F278" s="3">
        <v>3</v>
      </c>
      <c r="G278" s="4" t="s">
        <v>46</v>
      </c>
      <c r="H278" s="5">
        <v>2</v>
      </c>
      <c r="I278" s="6">
        <v>46160</v>
      </c>
      <c r="J278" s="6">
        <v>46188</v>
      </c>
      <c r="K278" s="7">
        <v>4</v>
      </c>
      <c r="L278" s="7">
        <v>29</v>
      </c>
      <c r="M278" s="10" t="s">
        <v>482</v>
      </c>
      <c r="N278" s="8" t="s">
        <v>18</v>
      </c>
      <c r="O278" s="9" t="s">
        <v>540</v>
      </c>
    </row>
    <row r="279" spans="1:15" ht="115.2" x14ac:dyDescent="0.3">
      <c r="A279" s="3" t="s">
        <v>343</v>
      </c>
      <c r="B279" s="3" t="s">
        <v>560</v>
      </c>
      <c r="C279" s="3" t="str">
        <f>MID(Tabla1[[#This Row],[CodMovilidad]],6,3)</f>
        <v>114</v>
      </c>
      <c r="D279" s="3" t="s">
        <v>51</v>
      </c>
      <c r="E279" s="4" t="s">
        <v>38</v>
      </c>
      <c r="F279" s="3">
        <v>3</v>
      </c>
      <c r="G279" s="4" t="s">
        <v>46</v>
      </c>
      <c r="H279" s="5">
        <v>3</v>
      </c>
      <c r="I279" s="6">
        <v>46160</v>
      </c>
      <c r="J279" s="6">
        <v>46188</v>
      </c>
      <c r="K279" s="7">
        <v>4</v>
      </c>
      <c r="L279" s="7">
        <v>29</v>
      </c>
      <c r="M279" s="10" t="s">
        <v>542</v>
      </c>
      <c r="N279" s="8" t="s">
        <v>18</v>
      </c>
      <c r="O279" s="9" t="s">
        <v>543</v>
      </c>
    </row>
    <row r="280" spans="1:15" ht="115.2" x14ac:dyDescent="0.3">
      <c r="A280" s="3" t="s">
        <v>561</v>
      </c>
      <c r="B280" s="3" t="s">
        <v>562</v>
      </c>
      <c r="C280" s="3" t="str">
        <f>MID(Tabla1[[#This Row],[CodMovilidad]],6,3)</f>
        <v>001</v>
      </c>
      <c r="D280" s="3" t="s">
        <v>51</v>
      </c>
      <c r="E280" s="4" t="s">
        <v>15</v>
      </c>
      <c r="F280" s="3">
        <v>1</v>
      </c>
      <c r="G280" s="4" t="s">
        <v>16</v>
      </c>
      <c r="H280" s="5">
        <v>5</v>
      </c>
      <c r="I280" s="6">
        <v>46105</v>
      </c>
      <c r="J280" s="6">
        <v>46147</v>
      </c>
      <c r="K280" s="7">
        <v>6</v>
      </c>
      <c r="L280" s="7">
        <v>43</v>
      </c>
      <c r="M280" s="10" t="s">
        <v>563</v>
      </c>
      <c r="N280" s="8" t="s">
        <v>18</v>
      </c>
      <c r="O280" s="9" t="s">
        <v>564</v>
      </c>
    </row>
    <row r="281" spans="1:15" ht="100.8" x14ac:dyDescent="0.3">
      <c r="A281" s="3" t="s">
        <v>561</v>
      </c>
      <c r="B281" s="3" t="s">
        <v>565</v>
      </c>
      <c r="C281" s="3" t="str">
        <f>MID(Tabla1[[#This Row],[CodMovilidad]],6,3)</f>
        <v>002</v>
      </c>
      <c r="D281" s="3" t="s">
        <v>51</v>
      </c>
      <c r="E281" s="4" t="s">
        <v>15</v>
      </c>
      <c r="F281" s="3">
        <v>1</v>
      </c>
      <c r="G281" s="4" t="s">
        <v>16</v>
      </c>
      <c r="H281" s="5">
        <v>2</v>
      </c>
      <c r="I281" s="6">
        <v>46105</v>
      </c>
      <c r="J281" s="6">
        <v>46147</v>
      </c>
      <c r="K281" s="7">
        <v>6</v>
      </c>
      <c r="L281" s="7">
        <v>43</v>
      </c>
      <c r="M281" s="10" t="s">
        <v>566</v>
      </c>
      <c r="N281" s="8" t="s">
        <v>18</v>
      </c>
      <c r="O281" s="9" t="s">
        <v>567</v>
      </c>
    </row>
    <row r="282" spans="1:15" ht="115.2" x14ac:dyDescent="0.3">
      <c r="A282" s="3" t="s">
        <v>561</v>
      </c>
      <c r="B282" s="3" t="s">
        <v>568</v>
      </c>
      <c r="C282" s="3" t="str">
        <f>MID(Tabla1[[#This Row],[CodMovilidad]],6,3)</f>
        <v>003</v>
      </c>
      <c r="D282" s="3" t="s">
        <v>51</v>
      </c>
      <c r="E282" s="4" t="s">
        <v>15</v>
      </c>
      <c r="F282" s="3">
        <v>1</v>
      </c>
      <c r="G282" s="4" t="s">
        <v>16</v>
      </c>
      <c r="H282" s="5">
        <v>1</v>
      </c>
      <c r="I282" s="6">
        <v>46105</v>
      </c>
      <c r="J282" s="6">
        <v>46147</v>
      </c>
      <c r="K282" s="7">
        <v>6</v>
      </c>
      <c r="L282" s="7">
        <v>43</v>
      </c>
      <c r="M282" s="10" t="s">
        <v>569</v>
      </c>
      <c r="N282" s="8" t="s">
        <v>18</v>
      </c>
      <c r="O282" s="9" t="s">
        <v>570</v>
      </c>
    </row>
    <row r="283" spans="1:15" ht="115.2" x14ac:dyDescent="0.3">
      <c r="A283" s="3" t="s">
        <v>561</v>
      </c>
      <c r="B283" s="3" t="s">
        <v>571</v>
      </c>
      <c r="C283" s="3" t="str">
        <f>MID(Tabla1[[#This Row],[CodMovilidad]],6,3)</f>
        <v>004</v>
      </c>
      <c r="D283" s="3" t="s">
        <v>51</v>
      </c>
      <c r="E283" s="4" t="s">
        <v>15</v>
      </c>
      <c r="F283" s="3">
        <v>1</v>
      </c>
      <c r="G283" s="4" t="s">
        <v>16</v>
      </c>
      <c r="H283" s="5">
        <v>2</v>
      </c>
      <c r="I283" s="6">
        <v>46105</v>
      </c>
      <c r="J283" s="6">
        <v>46147</v>
      </c>
      <c r="K283" s="7">
        <v>6</v>
      </c>
      <c r="L283" s="7">
        <v>43</v>
      </c>
      <c r="M283" s="10" t="s">
        <v>566</v>
      </c>
      <c r="N283" s="8" t="s">
        <v>18</v>
      </c>
      <c r="O283" s="9" t="s">
        <v>572</v>
      </c>
    </row>
    <row r="284" spans="1:15" ht="100.8" x14ac:dyDescent="0.3">
      <c r="A284" s="3" t="s">
        <v>561</v>
      </c>
      <c r="B284" s="3" t="s">
        <v>573</v>
      </c>
      <c r="C284" s="3" t="str">
        <f>MID(Tabla1[[#This Row],[CodMovilidad]],6,3)</f>
        <v>005</v>
      </c>
      <c r="D284" s="3" t="s">
        <v>51</v>
      </c>
      <c r="E284" s="4" t="s">
        <v>15</v>
      </c>
      <c r="F284" s="3">
        <v>1</v>
      </c>
      <c r="G284" s="4" t="s">
        <v>16</v>
      </c>
      <c r="H284" s="5">
        <v>3</v>
      </c>
      <c r="I284" s="6">
        <v>46105</v>
      </c>
      <c r="J284" s="6">
        <v>46147</v>
      </c>
      <c r="K284" s="7">
        <v>6</v>
      </c>
      <c r="L284" s="7">
        <v>43</v>
      </c>
      <c r="M284" s="10" t="s">
        <v>574</v>
      </c>
      <c r="N284" s="8" t="s">
        <v>18</v>
      </c>
      <c r="O284" s="9" t="s">
        <v>575</v>
      </c>
    </row>
    <row r="285" spans="1:15" ht="115.2" x14ac:dyDescent="0.3">
      <c r="A285" s="3" t="s">
        <v>561</v>
      </c>
      <c r="B285" s="3" t="s">
        <v>576</v>
      </c>
      <c r="C285" s="3" t="str">
        <f>MID(Tabla1[[#This Row],[CodMovilidad]],6,3)</f>
        <v>006</v>
      </c>
      <c r="D285" s="3" t="s">
        <v>51</v>
      </c>
      <c r="E285" s="4" t="s">
        <v>15</v>
      </c>
      <c r="F285" s="3">
        <v>1</v>
      </c>
      <c r="G285" s="4" t="s">
        <v>16</v>
      </c>
      <c r="H285" s="5">
        <v>2</v>
      </c>
      <c r="I285" s="6">
        <v>46105</v>
      </c>
      <c r="J285" s="6">
        <v>46147</v>
      </c>
      <c r="K285" s="7">
        <v>6</v>
      </c>
      <c r="L285" s="7">
        <v>43</v>
      </c>
      <c r="M285" s="10" t="s">
        <v>577</v>
      </c>
      <c r="N285" s="8" t="s">
        <v>18</v>
      </c>
      <c r="O285" s="9" t="s">
        <v>578</v>
      </c>
    </row>
    <row r="286" spans="1:15" ht="100.8" x14ac:dyDescent="0.3">
      <c r="A286" s="3" t="s">
        <v>561</v>
      </c>
      <c r="B286" s="3" t="s">
        <v>579</v>
      </c>
      <c r="C286" s="3" t="str">
        <f>MID(Tabla1[[#This Row],[CodMovilidad]],6,3)</f>
        <v>007</v>
      </c>
      <c r="D286" s="3" t="s">
        <v>51</v>
      </c>
      <c r="E286" s="4" t="s">
        <v>15</v>
      </c>
      <c r="F286" s="3">
        <v>1</v>
      </c>
      <c r="G286" s="4" t="s">
        <v>16</v>
      </c>
      <c r="H286" s="5">
        <v>5</v>
      </c>
      <c r="I286" s="6">
        <v>46105</v>
      </c>
      <c r="J286" s="6">
        <v>46147</v>
      </c>
      <c r="K286" s="7">
        <v>6</v>
      </c>
      <c r="L286" s="7">
        <v>43</v>
      </c>
      <c r="M286" s="10" t="s">
        <v>580</v>
      </c>
      <c r="N286" s="8" t="s">
        <v>18</v>
      </c>
      <c r="O286" s="9" t="s">
        <v>581</v>
      </c>
    </row>
    <row r="287" spans="1:15" ht="115.2" x14ac:dyDescent="0.3">
      <c r="A287" s="3" t="s">
        <v>561</v>
      </c>
      <c r="B287" s="3" t="s">
        <v>582</v>
      </c>
      <c r="C287" s="3" t="str">
        <f>MID(Tabla1[[#This Row],[CodMovilidad]],6,3)</f>
        <v>008</v>
      </c>
      <c r="D287" s="3" t="s">
        <v>51</v>
      </c>
      <c r="E287" s="4" t="s">
        <v>15</v>
      </c>
      <c r="F287" s="3">
        <v>1</v>
      </c>
      <c r="G287" s="4" t="s">
        <v>16</v>
      </c>
      <c r="H287" s="5">
        <v>6</v>
      </c>
      <c r="I287" s="6">
        <v>46161</v>
      </c>
      <c r="J287" s="6">
        <v>46203</v>
      </c>
      <c r="K287" s="7">
        <v>6</v>
      </c>
      <c r="L287" s="7">
        <v>43</v>
      </c>
      <c r="M287" s="10" t="s">
        <v>563</v>
      </c>
      <c r="N287" s="8" t="s">
        <v>18</v>
      </c>
      <c r="O287" s="9" t="s">
        <v>564</v>
      </c>
    </row>
    <row r="288" spans="1:15" ht="100.8" x14ac:dyDescent="0.3">
      <c r="A288" s="3" t="s">
        <v>561</v>
      </c>
      <c r="B288" s="3" t="s">
        <v>583</v>
      </c>
      <c r="C288" s="3" t="str">
        <f>MID(Tabla1[[#This Row],[CodMovilidad]],6,3)</f>
        <v>009</v>
      </c>
      <c r="D288" s="3" t="s">
        <v>51</v>
      </c>
      <c r="E288" s="4" t="s">
        <v>15</v>
      </c>
      <c r="F288" s="3">
        <v>1</v>
      </c>
      <c r="G288" s="4" t="s">
        <v>16</v>
      </c>
      <c r="H288" s="5">
        <v>2</v>
      </c>
      <c r="I288" s="6">
        <v>46161</v>
      </c>
      <c r="J288" s="6">
        <v>46203</v>
      </c>
      <c r="K288" s="7">
        <v>6</v>
      </c>
      <c r="L288" s="7">
        <v>43</v>
      </c>
      <c r="M288" s="10" t="s">
        <v>566</v>
      </c>
      <c r="N288" s="8" t="s">
        <v>18</v>
      </c>
      <c r="O288" s="9" t="s">
        <v>567</v>
      </c>
    </row>
    <row r="289" spans="1:15" ht="115.2" x14ac:dyDescent="0.3">
      <c r="A289" s="3" t="s">
        <v>561</v>
      </c>
      <c r="B289" s="3" t="s">
        <v>584</v>
      </c>
      <c r="C289" s="3" t="str">
        <f>MID(Tabla1[[#This Row],[CodMovilidad]],6,3)</f>
        <v>010</v>
      </c>
      <c r="D289" s="3" t="s">
        <v>51</v>
      </c>
      <c r="E289" s="4" t="s">
        <v>15</v>
      </c>
      <c r="F289" s="3">
        <v>1</v>
      </c>
      <c r="G289" s="4" t="s">
        <v>16</v>
      </c>
      <c r="H289" s="5">
        <v>2</v>
      </c>
      <c r="I289" s="6">
        <v>46161</v>
      </c>
      <c r="J289" s="6">
        <v>46203</v>
      </c>
      <c r="K289" s="7">
        <v>6</v>
      </c>
      <c r="L289" s="7">
        <v>43</v>
      </c>
      <c r="M289" s="10" t="s">
        <v>569</v>
      </c>
      <c r="N289" s="8" t="s">
        <v>18</v>
      </c>
      <c r="O289" s="9" t="s">
        <v>570</v>
      </c>
    </row>
    <row r="290" spans="1:15" ht="115.2" x14ac:dyDescent="0.3">
      <c r="A290" s="3" t="s">
        <v>561</v>
      </c>
      <c r="B290" s="3" t="s">
        <v>585</v>
      </c>
      <c r="C290" s="3" t="str">
        <f>MID(Tabla1[[#This Row],[CodMovilidad]],6,3)</f>
        <v>011</v>
      </c>
      <c r="D290" s="3" t="s">
        <v>51</v>
      </c>
      <c r="E290" s="4" t="s">
        <v>15</v>
      </c>
      <c r="F290" s="3">
        <v>1</v>
      </c>
      <c r="G290" s="4" t="s">
        <v>16</v>
      </c>
      <c r="H290" s="5">
        <v>1</v>
      </c>
      <c r="I290" s="6">
        <v>46161</v>
      </c>
      <c r="J290" s="6">
        <v>46203</v>
      </c>
      <c r="K290" s="7">
        <v>6</v>
      </c>
      <c r="L290" s="7">
        <v>43</v>
      </c>
      <c r="M290" s="10" t="s">
        <v>566</v>
      </c>
      <c r="N290" s="8" t="s">
        <v>18</v>
      </c>
      <c r="O290" s="9" t="s">
        <v>572</v>
      </c>
    </row>
    <row r="291" spans="1:15" ht="100.8" x14ac:dyDescent="0.3">
      <c r="A291" s="3" t="s">
        <v>561</v>
      </c>
      <c r="B291" s="3" t="s">
        <v>586</v>
      </c>
      <c r="C291" s="3" t="str">
        <f>MID(Tabla1[[#This Row],[CodMovilidad]],6,3)</f>
        <v>012</v>
      </c>
      <c r="D291" s="3" t="s">
        <v>51</v>
      </c>
      <c r="E291" s="4" t="s">
        <v>15</v>
      </c>
      <c r="F291" s="3">
        <v>1</v>
      </c>
      <c r="G291" s="4" t="s">
        <v>16</v>
      </c>
      <c r="H291" s="5">
        <v>3</v>
      </c>
      <c r="I291" s="6">
        <v>46161</v>
      </c>
      <c r="J291" s="6">
        <v>46203</v>
      </c>
      <c r="K291" s="7">
        <v>6</v>
      </c>
      <c r="L291" s="7">
        <v>43</v>
      </c>
      <c r="M291" s="10" t="s">
        <v>574</v>
      </c>
      <c r="N291" s="8" t="s">
        <v>18</v>
      </c>
      <c r="O291" s="9" t="s">
        <v>575</v>
      </c>
    </row>
    <row r="292" spans="1:15" ht="115.2" x14ac:dyDescent="0.3">
      <c r="A292" s="3" t="s">
        <v>561</v>
      </c>
      <c r="B292" s="3" t="s">
        <v>587</v>
      </c>
      <c r="C292" s="3" t="str">
        <f>MID(Tabla1[[#This Row],[CodMovilidad]],6,3)</f>
        <v>013</v>
      </c>
      <c r="D292" s="3" t="s">
        <v>51</v>
      </c>
      <c r="E292" s="4" t="s">
        <v>15</v>
      </c>
      <c r="F292" s="3">
        <v>1</v>
      </c>
      <c r="G292" s="4" t="s">
        <v>16</v>
      </c>
      <c r="H292" s="5">
        <v>2</v>
      </c>
      <c r="I292" s="6">
        <v>46161</v>
      </c>
      <c r="J292" s="6">
        <v>46203</v>
      </c>
      <c r="K292" s="7">
        <v>6</v>
      </c>
      <c r="L292" s="7">
        <v>43</v>
      </c>
      <c r="M292" s="10" t="s">
        <v>577</v>
      </c>
      <c r="N292" s="8" t="s">
        <v>18</v>
      </c>
      <c r="O292" s="9" t="s">
        <v>578</v>
      </c>
    </row>
    <row r="293" spans="1:15" ht="100.8" x14ac:dyDescent="0.3">
      <c r="A293" s="3" t="s">
        <v>561</v>
      </c>
      <c r="B293" s="3" t="s">
        <v>588</v>
      </c>
      <c r="C293" s="3" t="str">
        <f>MID(Tabla1[[#This Row],[CodMovilidad]],6,3)</f>
        <v>014</v>
      </c>
      <c r="D293" s="3" t="s">
        <v>51</v>
      </c>
      <c r="E293" s="4" t="s">
        <v>15</v>
      </c>
      <c r="F293" s="3">
        <v>1</v>
      </c>
      <c r="G293" s="4" t="s">
        <v>16</v>
      </c>
      <c r="H293" s="5">
        <v>5</v>
      </c>
      <c r="I293" s="6">
        <v>46161</v>
      </c>
      <c r="J293" s="6">
        <v>46203</v>
      </c>
      <c r="K293" s="7">
        <v>6</v>
      </c>
      <c r="L293" s="7">
        <v>43</v>
      </c>
      <c r="M293" s="10" t="s">
        <v>580</v>
      </c>
      <c r="N293" s="8" t="s">
        <v>18</v>
      </c>
      <c r="O293" s="9" t="s">
        <v>581</v>
      </c>
    </row>
    <row r="294" spans="1:15" ht="100.8" x14ac:dyDescent="0.3">
      <c r="A294" s="3" t="s">
        <v>561</v>
      </c>
      <c r="B294" s="3" t="s">
        <v>589</v>
      </c>
      <c r="C294" s="3" t="str">
        <f>MID(Tabla1[[#This Row],[CodMovilidad]],6,3)</f>
        <v>015</v>
      </c>
      <c r="D294" s="3" t="s">
        <v>51</v>
      </c>
      <c r="E294" s="4" t="s">
        <v>29</v>
      </c>
      <c r="F294" s="3">
        <v>2</v>
      </c>
      <c r="G294" s="4" t="s">
        <v>30</v>
      </c>
      <c r="H294" s="5">
        <v>3</v>
      </c>
      <c r="I294" s="6">
        <v>46113</v>
      </c>
      <c r="J294" s="6">
        <v>46155</v>
      </c>
      <c r="K294" s="7">
        <v>6</v>
      </c>
      <c r="L294" s="7">
        <v>43</v>
      </c>
      <c r="M294" s="10" t="s">
        <v>590</v>
      </c>
      <c r="N294" s="8" t="s">
        <v>18</v>
      </c>
      <c r="O294" s="9" t="s">
        <v>591</v>
      </c>
    </row>
    <row r="295" spans="1:15" ht="115.2" x14ac:dyDescent="0.3">
      <c r="A295" s="3" t="s">
        <v>561</v>
      </c>
      <c r="B295" s="3" t="s">
        <v>592</v>
      </c>
      <c r="C295" s="3" t="str">
        <f>MID(Tabla1[[#This Row],[CodMovilidad]],6,3)</f>
        <v>016</v>
      </c>
      <c r="D295" s="3" t="s">
        <v>51</v>
      </c>
      <c r="E295" s="4" t="s">
        <v>29</v>
      </c>
      <c r="F295" s="3">
        <v>2</v>
      </c>
      <c r="G295" s="4" t="s">
        <v>30</v>
      </c>
      <c r="H295" s="5">
        <v>2</v>
      </c>
      <c r="I295" s="6">
        <v>46113</v>
      </c>
      <c r="J295" s="6">
        <v>46155</v>
      </c>
      <c r="K295" s="7">
        <v>6</v>
      </c>
      <c r="L295" s="7">
        <v>43</v>
      </c>
      <c r="M295" s="10" t="s">
        <v>593</v>
      </c>
      <c r="N295" s="8" t="s">
        <v>18</v>
      </c>
      <c r="O295" s="9" t="s">
        <v>594</v>
      </c>
    </row>
    <row r="296" spans="1:15" ht="100.8" x14ac:dyDescent="0.3">
      <c r="A296" s="3" t="s">
        <v>561</v>
      </c>
      <c r="B296" s="3" t="s">
        <v>595</v>
      </c>
      <c r="C296" s="3" t="str">
        <f>MID(Tabla1[[#This Row],[CodMovilidad]],6,3)</f>
        <v>017</v>
      </c>
      <c r="D296" s="3" t="s">
        <v>51</v>
      </c>
      <c r="E296" s="4" t="s">
        <v>29</v>
      </c>
      <c r="F296" s="3">
        <v>2</v>
      </c>
      <c r="G296" s="4" t="s">
        <v>30</v>
      </c>
      <c r="H296" s="5">
        <v>1</v>
      </c>
      <c r="I296" s="6">
        <v>46113</v>
      </c>
      <c r="J296" s="6">
        <v>46155</v>
      </c>
      <c r="K296" s="7">
        <v>6</v>
      </c>
      <c r="L296" s="7">
        <v>43</v>
      </c>
      <c r="M296" s="10" t="s">
        <v>596</v>
      </c>
      <c r="N296" s="8" t="s">
        <v>18</v>
      </c>
      <c r="O296" s="9" t="s">
        <v>597</v>
      </c>
    </row>
    <row r="297" spans="1:15" ht="115.2" x14ac:dyDescent="0.3">
      <c r="A297" s="3" t="s">
        <v>561</v>
      </c>
      <c r="B297" s="3" t="s">
        <v>598</v>
      </c>
      <c r="C297" s="3" t="str">
        <f>MID(Tabla1[[#This Row],[CodMovilidad]],6,3)</f>
        <v>018</v>
      </c>
      <c r="D297" s="3" t="s">
        <v>51</v>
      </c>
      <c r="E297" s="4" t="s">
        <v>29</v>
      </c>
      <c r="F297" s="3">
        <v>2</v>
      </c>
      <c r="G297" s="4" t="s">
        <v>30</v>
      </c>
      <c r="H297" s="5">
        <v>1</v>
      </c>
      <c r="I297" s="6">
        <v>46113</v>
      </c>
      <c r="J297" s="6">
        <v>46155</v>
      </c>
      <c r="K297" s="7">
        <v>6</v>
      </c>
      <c r="L297" s="7">
        <v>43</v>
      </c>
      <c r="M297" s="10" t="s">
        <v>580</v>
      </c>
      <c r="N297" s="8" t="s">
        <v>18</v>
      </c>
      <c r="O297" s="9" t="s">
        <v>599</v>
      </c>
    </row>
    <row r="298" spans="1:15" ht="100.8" x14ac:dyDescent="0.3">
      <c r="A298" s="3" t="s">
        <v>561</v>
      </c>
      <c r="B298" s="3" t="s">
        <v>600</v>
      </c>
      <c r="C298" s="3" t="str">
        <f>MID(Tabla1[[#This Row],[CodMovilidad]],6,3)</f>
        <v>019</v>
      </c>
      <c r="D298" s="3" t="s">
        <v>51</v>
      </c>
      <c r="E298" s="4" t="s">
        <v>29</v>
      </c>
      <c r="F298" s="3">
        <v>2</v>
      </c>
      <c r="G298" s="4" t="s">
        <v>30</v>
      </c>
      <c r="H298" s="5">
        <v>2</v>
      </c>
      <c r="I298" s="6">
        <v>46121</v>
      </c>
      <c r="J298" s="6">
        <v>46163</v>
      </c>
      <c r="K298" s="7">
        <v>6</v>
      </c>
      <c r="L298" s="7">
        <v>43</v>
      </c>
      <c r="M298" s="10" t="s">
        <v>590</v>
      </c>
      <c r="N298" s="8" t="s">
        <v>18</v>
      </c>
      <c r="O298" s="9" t="s">
        <v>591</v>
      </c>
    </row>
    <row r="299" spans="1:15" ht="115.2" x14ac:dyDescent="0.3">
      <c r="A299" s="3" t="s">
        <v>561</v>
      </c>
      <c r="B299" s="3" t="s">
        <v>601</v>
      </c>
      <c r="C299" s="3" t="str">
        <f>MID(Tabla1[[#This Row],[CodMovilidad]],6,3)</f>
        <v>020</v>
      </c>
      <c r="D299" s="3" t="s">
        <v>51</v>
      </c>
      <c r="E299" s="4" t="s">
        <v>29</v>
      </c>
      <c r="F299" s="3">
        <v>2</v>
      </c>
      <c r="G299" s="4" t="s">
        <v>30</v>
      </c>
      <c r="H299" s="5">
        <v>2</v>
      </c>
      <c r="I299" s="6">
        <v>46121</v>
      </c>
      <c r="J299" s="6">
        <v>46163</v>
      </c>
      <c r="K299" s="7">
        <v>6</v>
      </c>
      <c r="L299" s="7">
        <v>43</v>
      </c>
      <c r="M299" s="10" t="s">
        <v>593</v>
      </c>
      <c r="N299" s="8" t="s">
        <v>18</v>
      </c>
      <c r="O299" s="9" t="s">
        <v>594</v>
      </c>
    </row>
    <row r="300" spans="1:15" ht="100.8" x14ac:dyDescent="0.3">
      <c r="A300" s="3" t="s">
        <v>561</v>
      </c>
      <c r="B300" s="3" t="s">
        <v>602</v>
      </c>
      <c r="C300" s="3" t="str">
        <f>MID(Tabla1[[#This Row],[CodMovilidad]],6,3)</f>
        <v>021</v>
      </c>
      <c r="D300" s="3" t="s">
        <v>51</v>
      </c>
      <c r="E300" s="4" t="s">
        <v>29</v>
      </c>
      <c r="F300" s="3">
        <v>2</v>
      </c>
      <c r="G300" s="4" t="s">
        <v>30</v>
      </c>
      <c r="H300" s="5">
        <v>1</v>
      </c>
      <c r="I300" s="6">
        <v>46121</v>
      </c>
      <c r="J300" s="6">
        <v>46163</v>
      </c>
      <c r="K300" s="7">
        <v>6</v>
      </c>
      <c r="L300" s="7">
        <v>43</v>
      </c>
      <c r="M300" s="10" t="s">
        <v>596</v>
      </c>
      <c r="N300" s="8" t="s">
        <v>18</v>
      </c>
      <c r="O300" s="9" t="s">
        <v>597</v>
      </c>
    </row>
    <row r="301" spans="1:15" ht="115.2" x14ac:dyDescent="0.3">
      <c r="A301" s="3" t="s">
        <v>561</v>
      </c>
      <c r="B301" s="3" t="s">
        <v>603</v>
      </c>
      <c r="C301" s="3" t="str">
        <f>MID(Tabla1[[#This Row],[CodMovilidad]],6,3)</f>
        <v>022</v>
      </c>
      <c r="D301" s="3" t="s">
        <v>51</v>
      </c>
      <c r="E301" s="4" t="s">
        <v>29</v>
      </c>
      <c r="F301" s="3">
        <v>2</v>
      </c>
      <c r="G301" s="4" t="s">
        <v>30</v>
      </c>
      <c r="H301" s="5">
        <v>1</v>
      </c>
      <c r="I301" s="6">
        <v>46121</v>
      </c>
      <c r="J301" s="6">
        <v>46163</v>
      </c>
      <c r="K301" s="7">
        <v>6</v>
      </c>
      <c r="L301" s="7">
        <v>43</v>
      </c>
      <c r="M301" s="10" t="s">
        <v>580</v>
      </c>
      <c r="N301" s="8" t="s">
        <v>18</v>
      </c>
      <c r="O301" s="9" t="s">
        <v>599</v>
      </c>
    </row>
    <row r="302" spans="1:15" ht="100.8" x14ac:dyDescent="0.3">
      <c r="A302" s="3" t="s">
        <v>561</v>
      </c>
      <c r="B302" s="3" t="s">
        <v>604</v>
      </c>
      <c r="C302" s="3" t="str">
        <f>MID(Tabla1[[#This Row],[CodMovilidad]],6,3)</f>
        <v>023</v>
      </c>
      <c r="D302" s="3" t="s">
        <v>51</v>
      </c>
      <c r="E302" s="4" t="s">
        <v>29</v>
      </c>
      <c r="F302" s="3">
        <v>2</v>
      </c>
      <c r="G302" s="4" t="s">
        <v>30</v>
      </c>
      <c r="H302" s="5">
        <v>3</v>
      </c>
      <c r="I302" s="6">
        <v>46128</v>
      </c>
      <c r="J302" s="6">
        <v>46170</v>
      </c>
      <c r="K302" s="7">
        <v>6</v>
      </c>
      <c r="L302" s="7">
        <v>43</v>
      </c>
      <c r="M302" s="10" t="s">
        <v>590</v>
      </c>
      <c r="N302" s="8" t="s">
        <v>18</v>
      </c>
      <c r="O302" s="9" t="s">
        <v>591</v>
      </c>
    </row>
    <row r="303" spans="1:15" ht="115.2" x14ac:dyDescent="0.3">
      <c r="A303" s="3" t="s">
        <v>561</v>
      </c>
      <c r="B303" s="3" t="s">
        <v>605</v>
      </c>
      <c r="C303" s="3" t="str">
        <f>MID(Tabla1[[#This Row],[CodMovilidad]],6,3)</f>
        <v>024</v>
      </c>
      <c r="D303" s="3" t="s">
        <v>51</v>
      </c>
      <c r="E303" s="4" t="s">
        <v>29</v>
      </c>
      <c r="F303" s="3">
        <v>2</v>
      </c>
      <c r="G303" s="4" t="s">
        <v>30</v>
      </c>
      <c r="H303" s="5">
        <v>2</v>
      </c>
      <c r="I303" s="6">
        <v>46128</v>
      </c>
      <c r="J303" s="6">
        <v>46170</v>
      </c>
      <c r="K303" s="7">
        <v>6</v>
      </c>
      <c r="L303" s="7">
        <v>43</v>
      </c>
      <c r="M303" s="10" t="s">
        <v>593</v>
      </c>
      <c r="N303" s="8" t="s">
        <v>18</v>
      </c>
      <c r="O303" s="9" t="s">
        <v>594</v>
      </c>
    </row>
    <row r="304" spans="1:15" ht="100.8" x14ac:dyDescent="0.3">
      <c r="A304" s="3" t="s">
        <v>561</v>
      </c>
      <c r="B304" s="3" t="s">
        <v>606</v>
      </c>
      <c r="C304" s="3" t="str">
        <f>MID(Tabla1[[#This Row],[CodMovilidad]],6,3)</f>
        <v>025</v>
      </c>
      <c r="D304" s="3" t="s">
        <v>51</v>
      </c>
      <c r="E304" s="4" t="s">
        <v>29</v>
      </c>
      <c r="F304" s="3">
        <v>2</v>
      </c>
      <c r="G304" s="4" t="s">
        <v>30</v>
      </c>
      <c r="H304" s="5">
        <v>1</v>
      </c>
      <c r="I304" s="6">
        <v>46128</v>
      </c>
      <c r="J304" s="6">
        <v>46170</v>
      </c>
      <c r="K304" s="7">
        <v>6</v>
      </c>
      <c r="L304" s="7">
        <v>43</v>
      </c>
      <c r="M304" s="10" t="s">
        <v>596</v>
      </c>
      <c r="N304" s="8" t="s">
        <v>18</v>
      </c>
      <c r="O304" s="9" t="s">
        <v>597</v>
      </c>
    </row>
    <row r="305" spans="1:15" ht="115.2" x14ac:dyDescent="0.3">
      <c r="A305" s="3" t="s">
        <v>561</v>
      </c>
      <c r="B305" s="3" t="s">
        <v>607</v>
      </c>
      <c r="C305" s="3" t="str">
        <f>MID(Tabla1[[#This Row],[CodMovilidad]],6,3)</f>
        <v>026</v>
      </c>
      <c r="D305" s="3" t="s">
        <v>51</v>
      </c>
      <c r="E305" s="4" t="s">
        <v>29</v>
      </c>
      <c r="F305" s="3">
        <v>2</v>
      </c>
      <c r="G305" s="4" t="s">
        <v>30</v>
      </c>
      <c r="H305" s="5">
        <v>1</v>
      </c>
      <c r="I305" s="6">
        <v>46128</v>
      </c>
      <c r="J305" s="6">
        <v>46170</v>
      </c>
      <c r="K305" s="7">
        <v>6</v>
      </c>
      <c r="L305" s="7">
        <v>43</v>
      </c>
      <c r="M305" s="10" t="s">
        <v>580</v>
      </c>
      <c r="N305" s="8" t="s">
        <v>18</v>
      </c>
      <c r="O305" s="9" t="s">
        <v>599</v>
      </c>
    </row>
    <row r="306" spans="1:15" ht="100.8" x14ac:dyDescent="0.3">
      <c r="A306" s="3" t="s">
        <v>561</v>
      </c>
      <c r="B306" s="3" t="s">
        <v>608</v>
      </c>
      <c r="C306" s="3" t="str">
        <f>MID(Tabla1[[#This Row],[CodMovilidad]],6,3)</f>
        <v>027</v>
      </c>
      <c r="D306" s="3" t="s">
        <v>51</v>
      </c>
      <c r="E306" s="4" t="s">
        <v>33</v>
      </c>
      <c r="F306" s="3">
        <v>2</v>
      </c>
      <c r="G306" s="4" t="s">
        <v>87</v>
      </c>
      <c r="H306" s="5">
        <v>3</v>
      </c>
      <c r="I306" s="6">
        <v>46111</v>
      </c>
      <c r="J306" s="6">
        <v>46153</v>
      </c>
      <c r="K306" s="7">
        <v>6</v>
      </c>
      <c r="L306" s="7">
        <v>43</v>
      </c>
      <c r="M306" s="10" t="s">
        <v>590</v>
      </c>
      <c r="N306" s="8" t="s">
        <v>18</v>
      </c>
      <c r="O306" s="9" t="s">
        <v>609</v>
      </c>
    </row>
    <row r="307" spans="1:15" ht="115.2" x14ac:dyDescent="0.3">
      <c r="A307" s="3" t="s">
        <v>561</v>
      </c>
      <c r="B307" s="3" t="s">
        <v>610</v>
      </c>
      <c r="C307" s="3" t="str">
        <f>MID(Tabla1[[#This Row],[CodMovilidad]],6,3)</f>
        <v>028</v>
      </c>
      <c r="D307" s="3" t="s">
        <v>51</v>
      </c>
      <c r="E307" s="4" t="s">
        <v>33</v>
      </c>
      <c r="F307" s="3">
        <v>2</v>
      </c>
      <c r="G307" s="4" t="s">
        <v>34</v>
      </c>
      <c r="H307" s="5">
        <v>1</v>
      </c>
      <c r="I307" s="6">
        <v>46096</v>
      </c>
      <c r="J307" s="6">
        <v>46138</v>
      </c>
      <c r="K307" s="7">
        <v>6</v>
      </c>
      <c r="L307" s="7">
        <v>43</v>
      </c>
      <c r="M307" s="10" t="s">
        <v>593</v>
      </c>
      <c r="N307" s="8" t="s">
        <v>18</v>
      </c>
      <c r="O307" s="9" t="s">
        <v>611</v>
      </c>
    </row>
    <row r="308" spans="1:15" ht="115.2" x14ac:dyDescent="0.3">
      <c r="A308" s="3" t="s">
        <v>561</v>
      </c>
      <c r="B308" s="3" t="s">
        <v>612</v>
      </c>
      <c r="C308" s="3" t="str">
        <f>MID(Tabla1[[#This Row],[CodMovilidad]],6,3)</f>
        <v>029</v>
      </c>
      <c r="D308" s="3" t="s">
        <v>51</v>
      </c>
      <c r="E308" s="4" t="s">
        <v>33</v>
      </c>
      <c r="F308" s="3">
        <v>2</v>
      </c>
      <c r="G308" s="4" t="s">
        <v>34</v>
      </c>
      <c r="H308" s="5">
        <v>2</v>
      </c>
      <c r="I308" s="6">
        <v>46096</v>
      </c>
      <c r="J308" s="6">
        <v>46138</v>
      </c>
      <c r="K308" s="7">
        <v>6</v>
      </c>
      <c r="L308" s="7">
        <v>43</v>
      </c>
      <c r="M308" s="10" t="s">
        <v>613</v>
      </c>
      <c r="N308" s="8" t="s">
        <v>18</v>
      </c>
      <c r="O308" s="9" t="s">
        <v>614</v>
      </c>
    </row>
    <row r="309" spans="1:15" ht="100.8" x14ac:dyDescent="0.3">
      <c r="A309" s="3" t="s">
        <v>561</v>
      </c>
      <c r="B309" s="3" t="s">
        <v>615</v>
      </c>
      <c r="C309" s="3" t="str">
        <f>MID(Tabla1[[#This Row],[CodMovilidad]],6,3)</f>
        <v>030</v>
      </c>
      <c r="D309" s="3" t="s">
        <v>51</v>
      </c>
      <c r="E309" s="4" t="s">
        <v>38</v>
      </c>
      <c r="F309" s="3">
        <v>3</v>
      </c>
      <c r="G309" s="4" t="s">
        <v>39</v>
      </c>
      <c r="H309" s="5">
        <v>2</v>
      </c>
      <c r="I309" s="6">
        <v>46104</v>
      </c>
      <c r="J309" s="6">
        <v>46132</v>
      </c>
      <c r="K309" s="7">
        <v>4</v>
      </c>
      <c r="L309" s="7">
        <v>29</v>
      </c>
      <c r="M309" s="10" t="s">
        <v>616</v>
      </c>
      <c r="N309" s="8" t="s">
        <v>18</v>
      </c>
      <c r="O309" s="9" t="s">
        <v>617</v>
      </c>
    </row>
    <row r="310" spans="1:15" ht="100.8" x14ac:dyDescent="0.3">
      <c r="A310" s="3" t="s">
        <v>561</v>
      </c>
      <c r="B310" s="3" t="s">
        <v>618</v>
      </c>
      <c r="C310" s="3" t="str">
        <f>MID(Tabla1[[#This Row],[CodMovilidad]],6,3)</f>
        <v>031</v>
      </c>
      <c r="D310" s="3" t="s">
        <v>51</v>
      </c>
      <c r="E310" s="4" t="s">
        <v>38</v>
      </c>
      <c r="F310" s="3">
        <v>3</v>
      </c>
      <c r="G310" s="4" t="s">
        <v>39</v>
      </c>
      <c r="H310" s="5">
        <v>1</v>
      </c>
      <c r="I310" s="6">
        <v>46104</v>
      </c>
      <c r="J310" s="6">
        <v>46132</v>
      </c>
      <c r="K310" s="7">
        <v>4</v>
      </c>
      <c r="L310" s="7">
        <v>29</v>
      </c>
      <c r="M310" s="10" t="s">
        <v>619</v>
      </c>
      <c r="N310" s="8" t="s">
        <v>18</v>
      </c>
      <c r="O310" s="9" t="s">
        <v>620</v>
      </c>
    </row>
    <row r="311" spans="1:15" ht="115.2" x14ac:dyDescent="0.3">
      <c r="A311" s="3" t="s">
        <v>561</v>
      </c>
      <c r="B311" s="3" t="s">
        <v>621</v>
      </c>
      <c r="C311" s="3" t="str">
        <f>MID(Tabla1[[#This Row],[CodMovilidad]],6,3)</f>
        <v>032</v>
      </c>
      <c r="D311" s="3" t="s">
        <v>51</v>
      </c>
      <c r="E311" s="4" t="s">
        <v>38</v>
      </c>
      <c r="F311" s="3">
        <v>3</v>
      </c>
      <c r="G311" s="4" t="s">
        <v>39</v>
      </c>
      <c r="H311" s="5">
        <v>2</v>
      </c>
      <c r="I311" s="6">
        <v>46104</v>
      </c>
      <c r="J311" s="6">
        <v>46132</v>
      </c>
      <c r="K311" s="7">
        <v>4</v>
      </c>
      <c r="L311" s="7">
        <v>29</v>
      </c>
      <c r="M311" s="10" t="s">
        <v>619</v>
      </c>
      <c r="N311" s="8" t="s">
        <v>18</v>
      </c>
      <c r="O311" s="9" t="s">
        <v>622</v>
      </c>
    </row>
    <row r="312" spans="1:15" ht="100.8" x14ac:dyDescent="0.3">
      <c r="A312" s="3" t="s">
        <v>561</v>
      </c>
      <c r="B312" s="3" t="s">
        <v>623</v>
      </c>
      <c r="C312" s="3" t="str">
        <f>MID(Tabla1[[#This Row],[CodMovilidad]],6,3)</f>
        <v>033</v>
      </c>
      <c r="D312" s="3" t="s">
        <v>51</v>
      </c>
      <c r="E312" s="4" t="s">
        <v>38</v>
      </c>
      <c r="F312" s="3">
        <v>3</v>
      </c>
      <c r="G312" s="4" t="s">
        <v>39</v>
      </c>
      <c r="H312" s="5">
        <v>2</v>
      </c>
      <c r="I312" s="6">
        <v>46139</v>
      </c>
      <c r="J312" s="6">
        <v>46167</v>
      </c>
      <c r="K312" s="7">
        <v>4</v>
      </c>
      <c r="L312" s="7">
        <v>29</v>
      </c>
      <c r="M312" s="10" t="s">
        <v>616</v>
      </c>
      <c r="N312" s="8" t="s">
        <v>18</v>
      </c>
      <c r="O312" s="9" t="s">
        <v>617</v>
      </c>
    </row>
    <row r="313" spans="1:15" ht="100.8" x14ac:dyDescent="0.3">
      <c r="A313" s="3" t="s">
        <v>561</v>
      </c>
      <c r="B313" s="3" t="s">
        <v>624</v>
      </c>
      <c r="C313" s="3" t="str">
        <f>MID(Tabla1[[#This Row],[CodMovilidad]],6,3)</f>
        <v>034</v>
      </c>
      <c r="D313" s="3" t="s">
        <v>51</v>
      </c>
      <c r="E313" s="4" t="s">
        <v>38</v>
      </c>
      <c r="F313" s="3">
        <v>3</v>
      </c>
      <c r="G313" s="4" t="s">
        <v>39</v>
      </c>
      <c r="H313" s="5">
        <v>1</v>
      </c>
      <c r="I313" s="6">
        <v>46139</v>
      </c>
      <c r="J313" s="6">
        <v>46167</v>
      </c>
      <c r="K313" s="7">
        <v>4</v>
      </c>
      <c r="L313" s="7">
        <v>29</v>
      </c>
      <c r="M313" s="10" t="s">
        <v>619</v>
      </c>
      <c r="N313" s="8" t="s">
        <v>18</v>
      </c>
      <c r="O313" s="9" t="s">
        <v>620</v>
      </c>
    </row>
    <row r="314" spans="1:15" ht="115.2" x14ac:dyDescent="0.3">
      <c r="A314" s="3" t="s">
        <v>561</v>
      </c>
      <c r="B314" s="3" t="s">
        <v>625</v>
      </c>
      <c r="C314" s="3" t="str">
        <f>MID(Tabla1[[#This Row],[CodMovilidad]],6,3)</f>
        <v>035</v>
      </c>
      <c r="D314" s="3" t="s">
        <v>51</v>
      </c>
      <c r="E314" s="4" t="s">
        <v>38</v>
      </c>
      <c r="F314" s="3">
        <v>3</v>
      </c>
      <c r="G314" s="4" t="s">
        <v>39</v>
      </c>
      <c r="H314" s="5">
        <v>2</v>
      </c>
      <c r="I314" s="6">
        <v>46139</v>
      </c>
      <c r="J314" s="6">
        <v>46167</v>
      </c>
      <c r="K314" s="7">
        <v>4</v>
      </c>
      <c r="L314" s="7">
        <v>29</v>
      </c>
      <c r="M314" s="10" t="s">
        <v>619</v>
      </c>
      <c r="N314" s="8" t="s">
        <v>18</v>
      </c>
      <c r="O314" s="9" t="s">
        <v>622</v>
      </c>
    </row>
    <row r="315" spans="1:15" ht="100.8" x14ac:dyDescent="0.3">
      <c r="A315" s="3" t="s">
        <v>561</v>
      </c>
      <c r="B315" s="3" t="s">
        <v>626</v>
      </c>
      <c r="C315" s="3" t="str">
        <f>MID(Tabla1[[#This Row],[CodMovilidad]],6,3)</f>
        <v>036</v>
      </c>
      <c r="D315" s="3" t="s">
        <v>51</v>
      </c>
      <c r="E315" s="4" t="s">
        <v>38</v>
      </c>
      <c r="F315" s="3">
        <v>3</v>
      </c>
      <c r="G315" s="4" t="s">
        <v>39</v>
      </c>
      <c r="H315" s="5">
        <v>2</v>
      </c>
      <c r="I315" s="6">
        <v>46174</v>
      </c>
      <c r="J315" s="6">
        <v>46202</v>
      </c>
      <c r="K315" s="7">
        <v>4</v>
      </c>
      <c r="L315" s="7">
        <v>29</v>
      </c>
      <c r="M315" s="10" t="s">
        <v>616</v>
      </c>
      <c r="N315" s="8" t="s">
        <v>18</v>
      </c>
      <c r="O315" s="9" t="s">
        <v>617</v>
      </c>
    </row>
    <row r="316" spans="1:15" ht="100.8" x14ac:dyDescent="0.3">
      <c r="A316" s="3" t="s">
        <v>561</v>
      </c>
      <c r="B316" s="3" t="s">
        <v>627</v>
      </c>
      <c r="C316" s="3" t="str">
        <f>MID(Tabla1[[#This Row],[CodMovilidad]],6,3)</f>
        <v>037</v>
      </c>
      <c r="D316" s="3" t="s">
        <v>51</v>
      </c>
      <c r="E316" s="4" t="s">
        <v>38</v>
      </c>
      <c r="F316" s="3">
        <v>3</v>
      </c>
      <c r="G316" s="4" t="s">
        <v>39</v>
      </c>
      <c r="H316" s="5">
        <v>1</v>
      </c>
      <c r="I316" s="6">
        <v>46174</v>
      </c>
      <c r="J316" s="6">
        <v>46202</v>
      </c>
      <c r="K316" s="7">
        <v>4</v>
      </c>
      <c r="L316" s="7">
        <v>29</v>
      </c>
      <c r="M316" s="10" t="s">
        <v>619</v>
      </c>
      <c r="N316" s="8" t="s">
        <v>18</v>
      </c>
      <c r="O316" s="9" t="s">
        <v>620</v>
      </c>
    </row>
    <row r="317" spans="1:15" ht="115.2" x14ac:dyDescent="0.3">
      <c r="A317" s="3" t="s">
        <v>561</v>
      </c>
      <c r="B317" s="3" t="s">
        <v>628</v>
      </c>
      <c r="C317" s="3" t="str">
        <f>MID(Tabla1[[#This Row],[CodMovilidad]],6,3)</f>
        <v>038</v>
      </c>
      <c r="D317" s="3" t="s">
        <v>51</v>
      </c>
      <c r="E317" s="4" t="s">
        <v>38</v>
      </c>
      <c r="F317" s="3">
        <v>3</v>
      </c>
      <c r="G317" s="4" t="s">
        <v>39</v>
      </c>
      <c r="H317" s="5">
        <v>2</v>
      </c>
      <c r="I317" s="6">
        <v>46174</v>
      </c>
      <c r="J317" s="6">
        <v>46202</v>
      </c>
      <c r="K317" s="7">
        <v>4</v>
      </c>
      <c r="L317" s="7">
        <v>29</v>
      </c>
      <c r="M317" s="10" t="s">
        <v>619</v>
      </c>
      <c r="N317" s="8" t="s">
        <v>18</v>
      </c>
      <c r="O317" s="9" t="s">
        <v>622</v>
      </c>
    </row>
    <row r="318" spans="1:15" ht="100.8" x14ac:dyDescent="0.3">
      <c r="A318" s="3" t="s">
        <v>561</v>
      </c>
      <c r="B318" s="3" t="s">
        <v>629</v>
      </c>
      <c r="C318" s="3" t="str">
        <f>MID(Tabla1[[#This Row],[CodMovilidad]],6,3)</f>
        <v>039</v>
      </c>
      <c r="D318" s="3" t="s">
        <v>51</v>
      </c>
      <c r="E318" s="4" t="s">
        <v>42</v>
      </c>
      <c r="F318" s="3">
        <v>3</v>
      </c>
      <c r="G318" s="4" t="s">
        <v>43</v>
      </c>
      <c r="H318" s="5">
        <v>2</v>
      </c>
      <c r="I318" s="6">
        <v>46100</v>
      </c>
      <c r="J318" s="6">
        <v>46142</v>
      </c>
      <c r="K318" s="7">
        <v>6</v>
      </c>
      <c r="L318" s="7">
        <v>43</v>
      </c>
      <c r="M318" s="10" t="s">
        <v>616</v>
      </c>
      <c r="N318" s="8" t="s">
        <v>18</v>
      </c>
      <c r="O318" s="9" t="s">
        <v>630</v>
      </c>
    </row>
    <row r="319" spans="1:15" ht="100.8" x14ac:dyDescent="0.3">
      <c r="A319" s="3" t="s">
        <v>561</v>
      </c>
      <c r="B319" s="3" t="s">
        <v>631</v>
      </c>
      <c r="C319" s="3" t="str">
        <f>MID(Tabla1[[#This Row],[CodMovilidad]],6,3)</f>
        <v>040</v>
      </c>
      <c r="D319" s="3" t="s">
        <v>51</v>
      </c>
      <c r="E319" s="4" t="s">
        <v>42</v>
      </c>
      <c r="F319" s="3">
        <v>3</v>
      </c>
      <c r="G319" s="4" t="s">
        <v>43</v>
      </c>
      <c r="H319" s="5">
        <v>2</v>
      </c>
      <c r="I319" s="6">
        <v>46100</v>
      </c>
      <c r="J319" s="6">
        <v>46142</v>
      </c>
      <c r="K319" s="7">
        <v>6</v>
      </c>
      <c r="L319" s="7">
        <v>43</v>
      </c>
      <c r="M319" s="10" t="s">
        <v>632</v>
      </c>
      <c r="N319" s="8" t="s">
        <v>18</v>
      </c>
      <c r="O319" s="9" t="s">
        <v>633</v>
      </c>
    </row>
    <row r="320" spans="1:15" ht="100.8" x14ac:dyDescent="0.3">
      <c r="A320" s="3" t="s">
        <v>561</v>
      </c>
      <c r="B320" s="3" t="s">
        <v>634</v>
      </c>
      <c r="C320" s="3" t="str">
        <f>MID(Tabla1[[#This Row],[CodMovilidad]],6,3)</f>
        <v>041</v>
      </c>
      <c r="D320" s="3" t="s">
        <v>51</v>
      </c>
      <c r="E320" s="4" t="s">
        <v>42</v>
      </c>
      <c r="F320" s="3">
        <v>3</v>
      </c>
      <c r="G320" s="4" t="s">
        <v>43</v>
      </c>
      <c r="H320" s="5">
        <v>2</v>
      </c>
      <c r="I320" s="6">
        <v>46100</v>
      </c>
      <c r="J320" s="6">
        <v>46142</v>
      </c>
      <c r="K320" s="7">
        <v>6</v>
      </c>
      <c r="L320" s="7">
        <v>43</v>
      </c>
      <c r="M320" s="10" t="s">
        <v>632</v>
      </c>
      <c r="N320" s="8" t="s">
        <v>18</v>
      </c>
      <c r="O320" s="9" t="s">
        <v>635</v>
      </c>
    </row>
    <row r="321" spans="1:15" ht="115.2" x14ac:dyDescent="0.3">
      <c r="A321" s="3" t="s">
        <v>561</v>
      </c>
      <c r="B321" s="3" t="s">
        <v>636</v>
      </c>
      <c r="C321" s="3" t="str">
        <f>MID(Tabla1[[#This Row],[CodMovilidad]],6,3)</f>
        <v>042</v>
      </c>
      <c r="D321" s="3" t="s">
        <v>51</v>
      </c>
      <c r="E321" s="4" t="s">
        <v>38</v>
      </c>
      <c r="F321" s="3">
        <v>3</v>
      </c>
      <c r="G321" s="4" t="s">
        <v>46</v>
      </c>
      <c r="H321" s="5">
        <v>3</v>
      </c>
      <c r="I321" s="6">
        <v>46097</v>
      </c>
      <c r="J321" s="6">
        <v>46125</v>
      </c>
      <c r="K321" s="7">
        <v>4</v>
      </c>
      <c r="L321" s="7">
        <v>29</v>
      </c>
      <c r="M321" s="10" t="s">
        <v>637</v>
      </c>
      <c r="N321" s="8" t="s">
        <v>18</v>
      </c>
      <c r="O321" s="9" t="s">
        <v>638</v>
      </c>
    </row>
    <row r="322" spans="1:15" ht="115.2" x14ac:dyDescent="0.3">
      <c r="A322" s="3" t="s">
        <v>561</v>
      </c>
      <c r="B322" s="3" t="s">
        <v>639</v>
      </c>
      <c r="C322" s="3" t="str">
        <f>MID(Tabla1[[#This Row],[CodMovilidad]],6,3)</f>
        <v>043</v>
      </c>
      <c r="D322" s="3" t="s">
        <v>51</v>
      </c>
      <c r="E322" s="4" t="s">
        <v>38</v>
      </c>
      <c r="F322" s="3">
        <v>3</v>
      </c>
      <c r="G322" s="4" t="s">
        <v>46</v>
      </c>
      <c r="H322" s="5">
        <v>2</v>
      </c>
      <c r="I322" s="6">
        <v>46097</v>
      </c>
      <c r="J322" s="6">
        <v>46125</v>
      </c>
      <c r="K322" s="7">
        <v>4</v>
      </c>
      <c r="L322" s="7">
        <v>29</v>
      </c>
      <c r="M322" s="10" t="s">
        <v>640</v>
      </c>
      <c r="N322" s="8" t="s">
        <v>18</v>
      </c>
      <c r="O322" s="9" t="s">
        <v>641</v>
      </c>
    </row>
    <row r="323" spans="1:15" ht="115.2" x14ac:dyDescent="0.3">
      <c r="A323" s="3" t="s">
        <v>561</v>
      </c>
      <c r="B323" s="3" t="s">
        <v>642</v>
      </c>
      <c r="C323" s="3" t="str">
        <f>MID(Tabla1[[#This Row],[CodMovilidad]],6,3)</f>
        <v>044</v>
      </c>
      <c r="D323" s="3" t="s">
        <v>51</v>
      </c>
      <c r="E323" s="4" t="s">
        <v>38</v>
      </c>
      <c r="F323" s="3">
        <v>3</v>
      </c>
      <c r="G323" s="4" t="s">
        <v>46</v>
      </c>
      <c r="H323" s="5">
        <v>5</v>
      </c>
      <c r="I323" s="6">
        <v>46128</v>
      </c>
      <c r="J323" s="6">
        <v>46156</v>
      </c>
      <c r="K323" s="7">
        <v>4</v>
      </c>
      <c r="L323" s="7">
        <v>29</v>
      </c>
      <c r="M323" s="10" t="s">
        <v>637</v>
      </c>
      <c r="N323" s="8" t="s">
        <v>18</v>
      </c>
      <c r="O323" s="9" t="s">
        <v>638</v>
      </c>
    </row>
    <row r="324" spans="1:15" ht="115.2" x14ac:dyDescent="0.3">
      <c r="A324" s="3" t="s">
        <v>561</v>
      </c>
      <c r="B324" s="3" t="s">
        <v>643</v>
      </c>
      <c r="C324" s="3" t="str">
        <f>MID(Tabla1[[#This Row],[CodMovilidad]],6,3)</f>
        <v>045</v>
      </c>
      <c r="D324" s="3" t="s">
        <v>51</v>
      </c>
      <c r="E324" s="4" t="s">
        <v>38</v>
      </c>
      <c r="F324" s="3">
        <v>3</v>
      </c>
      <c r="G324" s="4" t="s">
        <v>46</v>
      </c>
      <c r="H324" s="5">
        <v>3</v>
      </c>
      <c r="I324" s="6">
        <v>46128</v>
      </c>
      <c r="J324" s="6">
        <v>46156</v>
      </c>
      <c r="K324" s="7">
        <v>4</v>
      </c>
      <c r="L324" s="7">
        <v>29</v>
      </c>
      <c r="M324" s="10" t="s">
        <v>640</v>
      </c>
      <c r="N324" s="8" t="s">
        <v>18</v>
      </c>
      <c r="O324" s="9" t="s">
        <v>641</v>
      </c>
    </row>
    <row r="325" spans="1:15" ht="115.2" x14ac:dyDescent="0.3">
      <c r="A325" s="3" t="s">
        <v>561</v>
      </c>
      <c r="B325" s="3" t="s">
        <v>644</v>
      </c>
      <c r="C325" s="3" t="str">
        <f>MID(Tabla1[[#This Row],[CodMovilidad]],6,3)</f>
        <v>046</v>
      </c>
      <c r="D325" s="3" t="s">
        <v>51</v>
      </c>
      <c r="E325" s="4" t="s">
        <v>38</v>
      </c>
      <c r="F325" s="3">
        <v>3</v>
      </c>
      <c r="G325" s="4" t="s">
        <v>46</v>
      </c>
      <c r="H325" s="5">
        <v>2</v>
      </c>
      <c r="I325" s="6">
        <v>46128</v>
      </c>
      <c r="J325" s="6">
        <v>46156</v>
      </c>
      <c r="K325" s="7">
        <v>4</v>
      </c>
      <c r="L325" s="7">
        <v>29</v>
      </c>
      <c r="M325" s="10" t="s">
        <v>645</v>
      </c>
      <c r="N325" s="8" t="s">
        <v>18</v>
      </c>
      <c r="O325" s="9" t="s">
        <v>646</v>
      </c>
    </row>
    <row r="326" spans="1:15" ht="115.2" x14ac:dyDescent="0.3">
      <c r="A326" s="3" t="s">
        <v>561</v>
      </c>
      <c r="B326" s="3" t="s">
        <v>647</v>
      </c>
      <c r="C326" s="3" t="str">
        <f>MID(Tabla1[[#This Row],[CodMovilidad]],6,3)</f>
        <v>047</v>
      </c>
      <c r="D326" s="3" t="s">
        <v>51</v>
      </c>
      <c r="E326" s="4" t="s">
        <v>38</v>
      </c>
      <c r="F326" s="3">
        <v>3</v>
      </c>
      <c r="G326" s="4" t="s">
        <v>46</v>
      </c>
      <c r="H326" s="5">
        <v>3</v>
      </c>
      <c r="I326" s="6">
        <v>46160</v>
      </c>
      <c r="J326" s="6">
        <v>46188</v>
      </c>
      <c r="K326" s="7">
        <v>4</v>
      </c>
      <c r="L326" s="7">
        <v>29</v>
      </c>
      <c r="M326" s="10" t="s">
        <v>637</v>
      </c>
      <c r="N326" s="8" t="s">
        <v>18</v>
      </c>
      <c r="O326" s="9" t="s">
        <v>638</v>
      </c>
    </row>
    <row r="327" spans="1:15" ht="115.2" x14ac:dyDescent="0.3">
      <c r="A327" s="3" t="s">
        <v>561</v>
      </c>
      <c r="B327" s="3" t="s">
        <v>648</v>
      </c>
      <c r="C327" s="3" t="str">
        <f>MID(Tabla1[[#This Row],[CodMovilidad]],6,3)</f>
        <v>048</v>
      </c>
      <c r="D327" s="3" t="s">
        <v>51</v>
      </c>
      <c r="E327" s="4" t="s">
        <v>38</v>
      </c>
      <c r="F327" s="3">
        <v>3</v>
      </c>
      <c r="G327" s="4" t="s">
        <v>46</v>
      </c>
      <c r="H327" s="5">
        <v>2</v>
      </c>
      <c r="I327" s="6">
        <v>46160</v>
      </c>
      <c r="J327" s="6">
        <v>46188</v>
      </c>
      <c r="K327" s="7">
        <v>4</v>
      </c>
      <c r="L327" s="7">
        <v>29</v>
      </c>
      <c r="M327" s="10" t="s">
        <v>640</v>
      </c>
      <c r="N327" s="8" t="s">
        <v>18</v>
      </c>
      <c r="O327" s="9" t="s">
        <v>641</v>
      </c>
    </row>
  </sheetData>
  <sheetProtection algorithmName="SHA-512" hashValue="bxr4frWL/UmPaul1uTwI3/d8cSGyTeyeib+D8pYLCojPeX9lhMUlq9FTssQ4JIhTcWn16xeFwKoUOg4hUhqqkQ==" saltValue="zsxfPHXuNoyIYDEszJEwLA==" spinCount="100000" sheet="1" selectLockedCells="1" sort="0" autoFilter="0" selectUnlockedCells="1"/>
  <mergeCells count="2">
    <mergeCell ref="A2:J2"/>
    <mergeCell ref="A3:J3"/>
  </mergeCells>
  <dataValidations count="7">
    <dataValidation allowBlank="1" showErrorMessage="1" errorTitle="País no válido" error="País no válido" promptTitle="País" prompt="País donde se va realizar la movilidad" sqref="F6:F327" xr:uid="{13C5D39C-0116-470F-844F-C8ECB80045F4}"/>
    <dataValidation type="custom" allowBlank="1" showInputMessage="1" showErrorMessage="1" errorTitle="Error" error="El nombre de la entidad de destino debe escribirse en mayúsculas" promptTitle="Entidad de destino" prompt="Entidad de destino donde se va a realizar la movilidad en mayúsculas" sqref="M6:M327" xr:uid="{22342B8C-1D5A-440B-B226-FFAFA8CBFA10}">
      <formula1>EXACT(M6,UPPER(M6))</formula1>
    </dataValidation>
    <dataValidation type="custom" operator="greaterThan" showInputMessage="1" showErrorMessage="1" errorTitle="Error" error="El nombre de la ciudad debe escribirse en mayúsculas" promptTitle="Ciudad" prompt="Ciudad donde se va a realizar la movilidad escrita en mayúsculas" sqref="G6:G327" xr:uid="{46E5B6E8-4259-4049-9B62-D91A0CF5DD54}">
      <formula1>EXACT(G6,UPPER(G6))</formula1>
    </dataValidation>
    <dataValidation type="whole" operator="greaterThan" allowBlank="1" showInputMessage="1" showErrorMessage="1" errorTitle="Error Plazas" error="El número de plazas debe ser un número entero mayor que 0." promptTitle="Plazas" prompt="Número de plazas de la movilidad" sqref="H6:H327" xr:uid="{EF151D18-C57D-4A94-82CA-FD3C95A4B421}">
      <formula1>0</formula1>
    </dataValidation>
    <dataValidation type="list" allowBlank="1" showInputMessage="1" showErrorMessage="1" errorTitle="Eror Entrevista" error="Valor no válido." promptTitle="Entrevista" prompt="Posibilidad de entrevista" sqref="N6:N327" xr:uid="{DDCC4506-C0FE-486D-ADBC-59A35A666D3A}">
      <formula1>LENTREVISTA</formula1>
    </dataValidation>
    <dataValidation type="list" allowBlank="1" showInputMessage="1" showErrorMessage="1" errorTitle="País no válido" error="País no válido" promptTitle="País" prompt="País donde se va realizar la movilidad" sqref="E6:E327" xr:uid="{25E1088D-B322-4B56-93D8-B0E3C91FE07E}">
      <formula1>LPAISES</formula1>
    </dataValidation>
    <dataValidation allowBlank="1" errorTitle="Error Ámbito Profesional" error="Ámbito profesional no válido." promptTitle="Ámbito Profesional" prompt="Ámbito profesional del lote al que pertenece la movilidad" sqref="A6:C327" xr:uid="{DFF192C3-44CA-4645-BC61-EDEB40CA704B}"/>
  </dataValidation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7D7FD497F6F584691AC4D234933C65E" ma:contentTypeVersion="9" ma:contentTypeDescription="Crear nuevo documento." ma:contentTypeScope="" ma:versionID="a65630c893592b627ee40d31454c6e33">
  <xsd:schema xmlns:xsd="http://www.w3.org/2001/XMLSchema" xmlns:xs="http://www.w3.org/2001/XMLSchema" xmlns:p="http://schemas.microsoft.com/office/2006/metadata/properties" xmlns:ns2="7a52218c-5f88-49ca-b8d8-0a9c2040aae7" targetNamespace="http://schemas.microsoft.com/office/2006/metadata/properties" ma:root="true" ma:fieldsID="1aaa023b66506dad5143f967caa9b0af" ns2:_="">
    <xsd:import namespace="7a52218c-5f88-49ca-b8d8-0a9c2040aa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52218c-5f88-49ca-b8d8-0a9c2040aa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fed664e4-1461-489c-84c9-3b14bfc5a82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52218c-5f88-49ca-b8d8-0a9c2040aae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73AE0E0-8983-4D6B-ADD3-1EB7C44C97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52218c-5f88-49ca-b8d8-0a9c2040a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190F4E-7FF1-464E-9706-CB0BE3BEE067}">
  <ds:schemaRefs>
    <ds:schemaRef ds:uri="http://schemas.microsoft.com/sharepoint/v3/contenttype/forms"/>
  </ds:schemaRefs>
</ds:datastoreItem>
</file>

<file path=customXml/itemProps3.xml><?xml version="1.0" encoding="utf-8"?>
<ds:datastoreItem xmlns:ds="http://schemas.openxmlformats.org/officeDocument/2006/customXml" ds:itemID="{0594054F-066F-4256-B3E3-5543282FBD65}">
  <ds:schemaRefs>
    <ds:schemaRef ds:uri="http://www.w3.org/XML/1998/namespace"/>
    <ds:schemaRef ds:uri="http://purl.org/dc/terms/"/>
    <ds:schemaRef ds:uri="http://purl.org/dc/elements/1.1/"/>
    <ds:schemaRef ds:uri="http://purl.org/dc/dcmitype/"/>
    <ds:schemaRef ds:uri="7a52218c-5f88-49ca-b8d8-0a9c2040aae7"/>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Movilidades_ALU_CAS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MERIN CUBERO, GABRIEL</dc:creator>
  <cp:keywords/>
  <dc:description/>
  <cp:lastModifiedBy>LOPEZ PEREZ, BELEN</cp:lastModifiedBy>
  <cp:revision/>
  <dcterms:created xsi:type="dcterms:W3CDTF">2023-10-13T12:08:53Z</dcterms:created>
  <dcterms:modified xsi:type="dcterms:W3CDTF">2026-01-23T13:24:39Z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0x01010037D7FD497F6F584691AC4D234933C65E</vt:lpwstr>
  </property>
  <property fmtid="{D5CDD505-2E9C-101B-9397-08002B2CF9AE}" pid="3" name="Order">
    <vt:r8>208000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